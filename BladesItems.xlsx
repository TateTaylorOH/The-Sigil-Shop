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13_ncr:1_{7D9605B7-D4B9-4073-B5A2-7C6CA6D0A6CF}" xr6:coauthVersionLast="47" xr6:coauthVersionMax="47" xr10:uidLastSave="{00000000-0000-0000-0000-000000000000}"/>
  <bookViews>
    <workbookView xWindow="28680" yWindow="-120" windowWidth="29040" windowHeight="15840" firstSheet="1" activeTab="4" xr2:uid="{06410ABF-0E56-4863-8318-F9923E5A9ABB}"/>
  </bookViews>
  <sheets>
    <sheet name="All Items" sheetId="1" r:id="rId1"/>
    <sheet name="Artifacts Only" sheetId="2" r:id="rId2"/>
    <sheet name="Armor" sheetId="3" r:id="rId3"/>
    <sheet name="Weapons" sheetId="5" r:id="rId4"/>
    <sheet name="Blades Effect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36" i="5" l="1"/>
  <c r="F33" i="5"/>
  <c r="F30" i="5"/>
  <c r="F27" i="5"/>
  <c r="F24" i="5"/>
  <c r="F21" i="5"/>
  <c r="F18" i="5"/>
  <c r="F15" i="5"/>
  <c r="F12" i="5"/>
  <c r="F9" i="5"/>
  <c r="F6" i="5"/>
  <c r="F3" i="5"/>
  <c r="H32" i="3"/>
  <c r="H21" i="3"/>
  <c r="H16" i="3"/>
  <c r="H12" i="3"/>
  <c r="H7" i="3"/>
  <c r="H27" i="3"/>
  <c r="H3" i="3"/>
  <c r="H24" i="3"/>
  <c r="A23" i="2" a="1"/>
  <c r="A23" i="2" s="1"/>
  <c r="A24" i="2" s="1" a="1"/>
  <c r="A24" i="2" s="1"/>
  <c r="E24" i="2" l="1" a="1"/>
  <c r="E24" i="2" s="1"/>
  <c r="D24" i="2" a="1"/>
  <c r="D24" i="2" s="1"/>
  <c r="C24" i="2" a="1"/>
  <c r="C24" i="2" s="1"/>
  <c r="B24" i="2" a="1"/>
  <c r="B24" i="2" s="1"/>
  <c r="F24" i="2" a="1"/>
  <c r="F2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<sst xmlns="http://schemas.openxmlformats.org/spreadsheetml/2006/main" count="2950" uniqueCount="753">
  <si>
    <t>Name</t>
  </si>
  <si>
    <t>Rarity</t>
  </si>
  <si>
    <t>Buying Price</t>
  </si>
  <si>
    <t>Selling Price</t>
  </si>
  <si>
    <t>Damage</t>
  </si>
  <si>
    <t>Damage Per Second</t>
  </si>
  <si>
    <t>Block Rating</t>
  </si>
  <si>
    <t>Bash Damage</t>
  </si>
  <si>
    <t>Armor Rating</t>
  </si>
  <si>
    <t>Maximum Condition</t>
  </si>
  <si>
    <t>Description</t>
  </si>
  <si>
    <t>Areldur's Armor</t>
  </si>
  <si>
    <t>Divine Areldur's Armor</t>
  </si>
  <si>
    <t>Legendary</t>
  </si>
  <si>
    <t>555Sigils</t>
  </si>
  <si>
    <t>6,287Gold</t>
  </si>
  <si>
    <t>N/A</t>
  </si>
  <si>
    <t>This highly-enchanted suit of armor was the prized possession of a great Altmer battlemage, who wore it until his death during Tiber Septim's conquest of the Summerset Isles at the end of the Second Era. It counts as Dragonscale for the Matching Set perk.</t>
  </si>
  <si>
    <t>Baridan's Axe</t>
  </si>
  <si>
    <t>Divine Baridan's Axe</t>
  </si>
  <si>
    <t>899Sigils</t>
  </si>
  <si>
    <t>16,234Gold</t>
  </si>
  <si>
    <t>(?)</t>
  </si>
  <si>
    <t>Once the prized heirloom of a family of arena champions, this Axe has defeated more combatants than any other weapon in the history of Imperial gladiatorial fighting.</t>
  </si>
  <si>
    <t>Boots of Dispersion</t>
  </si>
  <si>
    <t>Divine Boots of Dispersion</t>
  </si>
  <si>
    <t>499Sigils</t>
  </si>
  <si>
    <t>These were part of a set crafted for a Breton battlemage that specialized in the conjuration of Storm Atronachs. The rest of the set - and the battlemage - were lost when his tower burned down. It counts as Dragonscale for the purposes of the Matching Set perk.</t>
  </si>
  <si>
    <t>Breathtaker</t>
  </si>
  <si>
    <t>Divine Breathtaker</t>
  </si>
  <si>
    <t>An ancient claymore found in The City of the Dead, this voracious blade will suck the spirit and resolve out of opponents with each devastating blow.</t>
  </si>
  <si>
    <t>Captain Kordan's Saber</t>
  </si>
  <si>
    <t>Divine Captain Kordan's Saber</t>
  </si>
  <si>
    <t>No one knows for sure who Captain Kordan was, but his unique weapon has been carried by many famous - and infamous - warriors since it surfaced during the Oblivion Crisis.</t>
  </si>
  <si>
    <t>Chaurus Armor</t>
  </si>
  <si>
    <t>Divine Chaurus Armor</t>
  </si>
  <si>
    <t>Rare</t>
  </si>
  <si>
    <t>27Sigils</t>
  </si>
  <si>
    <t>4,356Gold</t>
  </si>
  <si>
    <t>This armor is imbued with the power of the higher planes, making it as strong as those forged from dragon bones. It counts as Dragonplate for the purposes of the Matching Set perk.</t>
  </si>
  <si>
    <t>Chaurus Boots</t>
  </si>
  <si>
    <t>Divine Chaurus Boots</t>
  </si>
  <si>
    <t>11Sigils</t>
  </si>
  <si>
    <t>1,815Gold</t>
  </si>
  <si>
    <t>Chaurus Gauntlets</t>
  </si>
  <si>
    <t>Divine Chaurus Gauntlets</t>
  </si>
  <si>
    <t>Chaurus Helmet</t>
  </si>
  <si>
    <t>Divine Chaurus Helmet</t>
  </si>
  <si>
    <t>16Sigils</t>
  </si>
  <si>
    <t>2,514Gold</t>
  </si>
  <si>
    <t>Chaurus Shield</t>
  </si>
  <si>
    <t>Divine Chaurus Shield</t>
  </si>
  <si>
    <t>20Sigils</t>
  </si>
  <si>
    <t>4,108Gold</t>
  </si>
  <si>
    <t>This shield is imbued with the power of the higher planes, making it as strong as those forged from dragon bones.</t>
  </si>
  <si>
    <t>Chitin Armor</t>
  </si>
  <si>
    <t>Divine Chitin Armor</t>
  </si>
  <si>
    <t>36Sigils</t>
  </si>
  <si>
    <t>3,723Gold</t>
  </si>
  <si>
    <t>This armor is imbued with the power of the higher planes, making it as strong as those forged from dragon scales. It counts as Dragonscale for the purposes of the Matching Set perk.</t>
  </si>
  <si>
    <t>Chitin Boots</t>
  </si>
  <si>
    <t>Divine Chitin Boots</t>
  </si>
  <si>
    <t>14Sigils</t>
  </si>
  <si>
    <t>1,560Gold</t>
  </si>
  <si>
    <t>Chitin Gauntlets</t>
  </si>
  <si>
    <t>Divine Chitin Gauntlets</t>
  </si>
  <si>
    <t>Chitin Helmet</t>
  </si>
  <si>
    <t>Divine Chitin Helmet</t>
  </si>
  <si>
    <t>2,157Gold</t>
  </si>
  <si>
    <t>Chitin Shield</t>
  </si>
  <si>
    <t>Divine Chitin Shield</t>
  </si>
  <si>
    <t>25Sigils</t>
  </si>
  <si>
    <t>3,705Gold</t>
  </si>
  <si>
    <t>This shield is imbued with the power of the higher planes, making it as strong as those forged from dragon scales.</t>
  </si>
  <si>
    <t>Conjurer's Gloves</t>
  </si>
  <si>
    <t>Divine Conjurer's Gloves</t>
  </si>
  <si>
    <t>444Sigils</t>
  </si>
  <si>
    <t>These prized gauntlets, which count as Dragonscale for the Matching Set perk, are highly sought-after by conjurers for their ability to absorb and regenerate Magicka, as well as for the protection they offer when summoned entities prove uncooperative.</t>
  </si>
  <si>
    <t>Daedric Battleaxe</t>
  </si>
  <si>
    <t>Divine Daedric Battleaxe</t>
  </si>
  <si>
    <t>54Sigils</t>
  </si>
  <si>
    <t>7,708Gold</t>
  </si>
  <si>
    <t>This weapon is imbued with the power of the higher planes, making it as strong as those made of dragon bones.</t>
  </si>
  <si>
    <t>Daedric Dagger</t>
  </si>
  <si>
    <t>Divine Daedric Dagger</t>
  </si>
  <si>
    <t>49Sigils</t>
  </si>
  <si>
    <t>5,780Gold</t>
  </si>
  <si>
    <t>Daedric Greatsword</t>
  </si>
  <si>
    <t>Divine Daedric Greatsword</t>
  </si>
  <si>
    <t>Daedric Hand Axe</t>
  </si>
  <si>
    <t>Divine Daedric Hand Axe</t>
  </si>
  <si>
    <t>Daedric Light Hammer</t>
  </si>
  <si>
    <t>Divine Daedric Light Hammer</t>
  </si>
  <si>
    <t>Daedric Light Shield</t>
  </si>
  <si>
    <t>Divine Daedric Light Shield</t>
  </si>
  <si>
    <t>Daedric Longsword</t>
  </si>
  <si>
    <t>Divine Daedric Longsword</t>
  </si>
  <si>
    <t>51Sigils</t>
  </si>
  <si>
    <t>6,743Gold</t>
  </si>
  <si>
    <t>132 / 151.8</t>
  </si>
  <si>
    <t>Daedric Mace</t>
  </si>
  <si>
    <t>Divine Daedric Mace</t>
  </si>
  <si>
    <t>Daedric Mail Armor</t>
  </si>
  <si>
    <t>Divine Daedric Mail Armor</t>
  </si>
  <si>
    <t>Daedric Mail Boots</t>
  </si>
  <si>
    <t>Divine Daedric Mail Boots</t>
  </si>
  <si>
    <t>Daedric Mail Gauntlets</t>
  </si>
  <si>
    <t>Divine Daedric Mail Gauntlets</t>
  </si>
  <si>
    <t>Daedric Mail Helmet</t>
  </si>
  <si>
    <t>Divine Daedric Mail Helmet</t>
  </si>
  <si>
    <t>Daedric Plate Armor</t>
  </si>
  <si>
    <t>Divine Daedric Plate Armor</t>
  </si>
  <si>
    <t>Daedric Plate Boots</t>
  </si>
  <si>
    <t>Divine Daedric Plate Boots</t>
  </si>
  <si>
    <t>Daedric Plate Gauntlets</t>
  </si>
  <si>
    <t>Divine Daedric Plate Gauntlets</t>
  </si>
  <si>
    <t>Daedric Plate Helmet</t>
  </si>
  <si>
    <t>Divine Daedric Plate Helmet</t>
  </si>
  <si>
    <t>Daedric Shield</t>
  </si>
  <si>
    <t>Divine Daedric Shield</t>
  </si>
  <si>
    <t>Daedric War Axe</t>
  </si>
  <si>
    <t>Divine Daedric War Axe</t>
  </si>
  <si>
    <t>Daedric Warhammer</t>
  </si>
  <si>
    <t>Divine Daedric Warhammer</t>
  </si>
  <si>
    <t>Dark Seducer Armor</t>
  </si>
  <si>
    <t>Divine Dark Seducer Armor</t>
  </si>
  <si>
    <t>(?)Gold</t>
  </si>
  <si>
    <t>Dark Seducer Battleaxe</t>
  </si>
  <si>
    <t>Divine Dark Seducer Battleaxe</t>
  </si>
  <si>
    <t>Dark Seducer Boots</t>
  </si>
  <si>
    <t>Divine Dark Seducer Boots</t>
  </si>
  <si>
    <t>Dark Seducer Dagger</t>
  </si>
  <si>
    <t>Divine Dark Seducer Dagger</t>
  </si>
  <si>
    <t>Dark Seducer Gauntlets</t>
  </si>
  <si>
    <t>Divine Dark Seducer Gauntlets</t>
  </si>
  <si>
    <t>Dark Seducer Greatsword</t>
  </si>
  <si>
    <t>Divine Dark Seducer Greatsword</t>
  </si>
  <si>
    <t>Dark Seducer Hand Axe</t>
  </si>
  <si>
    <t>Divine Dark Seducer Hand Axe</t>
  </si>
  <si>
    <t>Dark Seducer Helmet</t>
  </si>
  <si>
    <t>Divine Dark Seducer Helmet</t>
  </si>
  <si>
    <t>Dark Seducer Light Hammer</t>
  </si>
  <si>
    <t>Divine Dark Seducer Light Hammer</t>
  </si>
  <si>
    <t>Dark Seducer Longsword</t>
  </si>
  <si>
    <t>Divine Dark Seducer Longsword</t>
  </si>
  <si>
    <t>Dark Seducer Mace</t>
  </si>
  <si>
    <t>Divine Dark Seducer Mace</t>
  </si>
  <si>
    <t>Dark Seducer War Axe</t>
  </si>
  <si>
    <t>Divine Dark Seducer War Axe</t>
  </si>
  <si>
    <t>Dark Seducer Warhammer</t>
  </si>
  <si>
    <t>Divine Dark Seducer Warhammer</t>
  </si>
  <si>
    <t>Dwarven Battleaxe</t>
  </si>
  <si>
    <t>Divine Dwarven Battleaxe</t>
  </si>
  <si>
    <t>Dwarven Dagger</t>
  </si>
  <si>
    <t>Divine Dwarven Dagger</t>
  </si>
  <si>
    <t>Dwarven Greatsword</t>
  </si>
  <si>
    <t>Divine Dwarven Greatsword</t>
  </si>
  <si>
    <t>Dwarven Hand Axe</t>
  </si>
  <si>
    <t>Divine Dwarven Hand Axe</t>
  </si>
  <si>
    <t>Dwarven Light Hammer</t>
  </si>
  <si>
    <t>Divine Dwarven Light Hammer</t>
  </si>
  <si>
    <t>Dwarven Light Shield</t>
  </si>
  <si>
    <t>Divine Dwarven Light Shield</t>
  </si>
  <si>
    <t>Dwarven Longsword</t>
  </si>
  <si>
    <t>Divine Dwarven Longsword</t>
  </si>
  <si>
    <t>Dwarven Mace</t>
  </si>
  <si>
    <t>Divine Dwarven Mace</t>
  </si>
  <si>
    <t>Dwarven Mail Armor</t>
  </si>
  <si>
    <t>Divine Dwarven Mail Armor</t>
  </si>
  <si>
    <t>Dwarven Mail Boots</t>
  </si>
  <si>
    <t>Divine Dwarven Mail Boots</t>
  </si>
  <si>
    <t>Dwarven Mail Gauntlets</t>
  </si>
  <si>
    <t>Divine Dwarven Mail Gauntlets</t>
  </si>
  <si>
    <t>Dwarven Mail Helmet</t>
  </si>
  <si>
    <t>Divine Dwarven Mail Helmet</t>
  </si>
  <si>
    <t>Dwarven Plate Armor</t>
  </si>
  <si>
    <t>Divine Dwarven Plate Armor</t>
  </si>
  <si>
    <t>Dwarven Plate Boots</t>
  </si>
  <si>
    <t>Divine Dwarven Plate Boots</t>
  </si>
  <si>
    <t>Dwarven Plate Gauntlets</t>
  </si>
  <si>
    <t>Divine Dwarven Plate Gauntlets</t>
  </si>
  <si>
    <t>Dwarven Plate Helmet</t>
  </si>
  <si>
    <t>Divine Dwarven Plate Helmet</t>
  </si>
  <si>
    <t>Dwarven Shield</t>
  </si>
  <si>
    <t>Divine Dwarven Shield</t>
  </si>
  <si>
    <t>Dwarven War Axe</t>
  </si>
  <si>
    <t>Divine Dwarven War Axe</t>
  </si>
  <si>
    <t>Dwarven Warhammer</t>
  </si>
  <si>
    <t>Divine Dwarven Warhammer</t>
  </si>
  <si>
    <t>Ebony Armor</t>
  </si>
  <si>
    <t>Divine Ebony Armor</t>
  </si>
  <si>
    <t>Ebony Battleaxe</t>
  </si>
  <si>
    <t>Divine Ebony Battleaxe</t>
  </si>
  <si>
    <t>Ebony Boots</t>
  </si>
  <si>
    <t>Divine Ebony Boots</t>
  </si>
  <si>
    <t>Ebony Dagger</t>
  </si>
  <si>
    <t>Divine Ebony Dagger</t>
  </si>
  <si>
    <t>Ebony Gauntlets</t>
  </si>
  <si>
    <t>Divine Ebony Gauntlets</t>
  </si>
  <si>
    <t>Ebony Greatsword</t>
  </si>
  <si>
    <t>Divine Ebony Greatsword</t>
  </si>
  <si>
    <t>Ebony Hand Axe</t>
  </si>
  <si>
    <t>Divine Ebony Hand Axe</t>
  </si>
  <si>
    <t>Ebony Helmet</t>
  </si>
  <si>
    <t>Divine Ebony Helmet</t>
  </si>
  <si>
    <t>Ebony Light Hammer</t>
  </si>
  <si>
    <t>Divine Ebony Light Hammer</t>
  </si>
  <si>
    <t>Ebony Longsword</t>
  </si>
  <si>
    <t>Divine Ebony Longsword</t>
  </si>
  <si>
    <t>Ebony Mace</t>
  </si>
  <si>
    <t>Divine Ebony Mace</t>
  </si>
  <si>
    <t>Ebony Shield</t>
  </si>
  <si>
    <t>Divine Ebony Shield</t>
  </si>
  <si>
    <t>Ebony War Axe</t>
  </si>
  <si>
    <t>Divine Ebony War Axe</t>
  </si>
  <si>
    <t>Ebony Warhammer</t>
  </si>
  <si>
    <t>Divine Ebony Warhammer</t>
  </si>
  <si>
    <t>Elven Armor</t>
  </si>
  <si>
    <t>Divine Elven Armor</t>
  </si>
  <si>
    <t>Elven Battleaxe</t>
  </si>
  <si>
    <t>Divine Elven Battleaxe</t>
  </si>
  <si>
    <t>Elven Boots</t>
  </si>
  <si>
    <t>Divine Elven Boots</t>
  </si>
  <si>
    <t>Elven Dagger</t>
  </si>
  <si>
    <t>Divine Elven Dagger</t>
  </si>
  <si>
    <t>Elven Gauntlets</t>
  </si>
  <si>
    <t>Divine Elven Gauntlets</t>
  </si>
  <si>
    <t>Elven Greatsword</t>
  </si>
  <si>
    <t>Divine Elven Greatsword</t>
  </si>
  <si>
    <t>Elven Hand Axe</t>
  </si>
  <si>
    <t>Divine Elven Hand Axe</t>
  </si>
  <si>
    <t>Elven Helmet</t>
  </si>
  <si>
    <t>Divine Elven Helmet</t>
  </si>
  <si>
    <t>Elven Light Hammer</t>
  </si>
  <si>
    <t>Divine Elven Light Hammer</t>
  </si>
  <si>
    <t>Elven Longsword</t>
  </si>
  <si>
    <t>Divine Elven Longsword</t>
  </si>
  <si>
    <t>Elven Mace</t>
  </si>
  <si>
    <t>Divine Elven Mace</t>
  </si>
  <si>
    <t>Elven Shield</t>
  </si>
  <si>
    <t>Divine Elven Shield</t>
  </si>
  <si>
    <t>Elven War Axe</t>
  </si>
  <si>
    <t>Divine Elven War Axe</t>
  </si>
  <si>
    <t>Elven Warhammer</t>
  </si>
  <si>
    <t>Divine Elven Warhammer</t>
  </si>
  <si>
    <t>Flame Monarch's Crown</t>
  </si>
  <si>
    <t>Divine Flame Monarch's Crown</t>
  </si>
  <si>
    <t>333Sigils</t>
  </si>
  <si>
    <t>Some claim this helmet was worn by the Daedric demiprince Fa-Nuit-Hen when he visited Infernace, home of the Flame Atronachs, but others insist this is only conjecture. It counts as Dragonscale for the purposes of the Matching Set perk.</t>
  </si>
  <si>
    <t>Forsworn Battleaxe</t>
  </si>
  <si>
    <t>Divine Forsworn Battleaxe</t>
  </si>
  <si>
    <t>Forsworn Dagger</t>
  </si>
  <si>
    <t>Divine Forsworn Dagger</t>
  </si>
  <si>
    <t>Forsworn Greatsword</t>
  </si>
  <si>
    <t>Divine Forsworn Greatsword</t>
  </si>
  <si>
    <t>Forsworn Hand Axe</t>
  </si>
  <si>
    <t>Divine Forsworn Hand Axe</t>
  </si>
  <si>
    <t>Forsworn Light Hammer</t>
  </si>
  <si>
    <t>Divine Forsworn Light Hammer</t>
  </si>
  <si>
    <t>Forsworn Longsword</t>
  </si>
  <si>
    <t>Divine Forsworn Longsword</t>
  </si>
  <si>
    <t>Forsworn Mace</t>
  </si>
  <si>
    <t>Divine Forsworn Mace</t>
  </si>
  <si>
    <t>Forsworn War Axe</t>
  </si>
  <si>
    <t>Divine Forsworn War Axe</t>
  </si>
  <si>
    <t>Forsworn Warhammer</t>
  </si>
  <si>
    <t>Divine Forsworn Warhammer</t>
  </si>
  <si>
    <t>Glass Armor</t>
  </si>
  <si>
    <t>Divine Glass Armor</t>
  </si>
  <si>
    <t>Glass Battleaxe</t>
  </si>
  <si>
    <t>Divine Glass Battleaxe</t>
  </si>
  <si>
    <t>Glass Boots</t>
  </si>
  <si>
    <t>Divine Glass Boots</t>
  </si>
  <si>
    <t>Glass Dagger</t>
  </si>
  <si>
    <t>Divine Glass Dagger</t>
  </si>
  <si>
    <t>Glass Gauntlets</t>
  </si>
  <si>
    <t>Divine Glass Gauntlets</t>
  </si>
  <si>
    <t>Glass Greatsword</t>
  </si>
  <si>
    <t>Divine Glass Greatsword</t>
  </si>
  <si>
    <t>Glass Hand Axe</t>
  </si>
  <si>
    <t>Divine Glass Hand Axe</t>
  </si>
  <si>
    <t>Glass Helmet</t>
  </si>
  <si>
    <t>Divine Glass Helmet</t>
  </si>
  <si>
    <t>Glass Light Hammer</t>
  </si>
  <si>
    <t>Divine Glass Light Hammer</t>
  </si>
  <si>
    <t>Glass Longsword</t>
  </si>
  <si>
    <t>Divine Glass Longsword</t>
  </si>
  <si>
    <t>Glass Mace</t>
  </si>
  <si>
    <t>Divine Glass Mace</t>
  </si>
  <si>
    <t>Glass Shield</t>
  </si>
  <si>
    <t>Divine Glass Shield</t>
  </si>
  <si>
    <t>Glass War Axe</t>
  </si>
  <si>
    <t>Divine Glass War Axe</t>
  </si>
  <si>
    <t>Glass Warhammer</t>
  </si>
  <si>
    <t>Divine Glass Warhammer</t>
  </si>
  <si>
    <t>Golden Saint Battleaxe</t>
  </si>
  <si>
    <t>Divine Golden Saint Battleaxe</t>
  </si>
  <si>
    <t>Golden Saint Dagger</t>
  </si>
  <si>
    <t>Divine Golden Saint Dagger</t>
  </si>
  <si>
    <t>Golden Saint Greatsword</t>
  </si>
  <si>
    <t>Divine Golden Saint Greatsword</t>
  </si>
  <si>
    <t>Golden Saint Hand Axe</t>
  </si>
  <si>
    <t>Divine Golden Saint Hand Axe</t>
  </si>
  <si>
    <t>Golden Saint Light Hammer</t>
  </si>
  <si>
    <t>Divine Golden Saint Light Hammer</t>
  </si>
  <si>
    <t>Golden Saint Longsword</t>
  </si>
  <si>
    <t>Divine Golden Saint Longsword</t>
  </si>
  <si>
    <t>Golden Saint Mace</t>
  </si>
  <si>
    <t>Divine Golden Saint Mace</t>
  </si>
  <si>
    <t>Golden Saint War Axe</t>
  </si>
  <si>
    <t>Divine Golden Saint War Axe</t>
  </si>
  <si>
    <t>Golden Saint Warhammer</t>
  </si>
  <si>
    <t>Divine Golden Saint Warhammer</t>
  </si>
  <si>
    <t>Hide Armor</t>
  </si>
  <si>
    <t>Divine Hide Armor</t>
  </si>
  <si>
    <t>Hide Boots</t>
  </si>
  <si>
    <t>Divine Hide Boots</t>
  </si>
  <si>
    <t>Hide Gauntlets</t>
  </si>
  <si>
    <t>Divine Hide Gauntlets</t>
  </si>
  <si>
    <t>Hide Helmet</t>
  </si>
  <si>
    <t>Divine Hide Helmet</t>
  </si>
  <si>
    <t>Hide Shield</t>
  </si>
  <si>
    <t>Divine Hide Shield</t>
  </si>
  <si>
    <t>Iron Armor</t>
  </si>
  <si>
    <t>Divine Iron Armor</t>
  </si>
  <si>
    <t>Iron Battleaxe</t>
  </si>
  <si>
    <t>Divine Iron Battleaxe</t>
  </si>
  <si>
    <t>Iron Boots</t>
  </si>
  <si>
    <t>Divine Iron Boots</t>
  </si>
  <si>
    <t>Iron Dagger</t>
  </si>
  <si>
    <t>Divine Iron Dagger</t>
  </si>
  <si>
    <t>Iron Gauntlets</t>
  </si>
  <si>
    <t>Divine Iron Gauntlets</t>
  </si>
  <si>
    <t>Iron Greatsword</t>
  </si>
  <si>
    <t>Divine Iron Greatsword</t>
  </si>
  <si>
    <t>Iron Hand Axe</t>
  </si>
  <si>
    <t>Divine Iron Hand Axe</t>
  </si>
  <si>
    <t>Iron Helmet</t>
  </si>
  <si>
    <t>Divine Iron Helmet</t>
  </si>
  <si>
    <t>Iron Light Hammer</t>
  </si>
  <si>
    <t>Divine Iron Light Hammer</t>
  </si>
  <si>
    <t>Iron Longsword</t>
  </si>
  <si>
    <t>Divine Iron Longsword</t>
  </si>
  <si>
    <t>Iron Mace</t>
  </si>
  <si>
    <t>Divine Iron Mace</t>
  </si>
  <si>
    <t>Iron Shield</t>
  </si>
  <si>
    <t>Divine Iron Shield</t>
  </si>
  <si>
    <t>Iron War Axe</t>
  </si>
  <si>
    <t>Divine Iron War Axe</t>
  </si>
  <si>
    <t>Iron Warhammer</t>
  </si>
  <si>
    <t>Divine Iron Warhammer</t>
  </si>
  <si>
    <t>Leather Armor</t>
  </si>
  <si>
    <t>Divine Leather Armor</t>
  </si>
  <si>
    <t>Leather Boots</t>
  </si>
  <si>
    <t>Divine Leather Boots</t>
  </si>
  <si>
    <t>Leather Gauntlets</t>
  </si>
  <si>
    <t>Divine Leather Gauntlets</t>
  </si>
  <si>
    <t>Leather Hood</t>
  </si>
  <si>
    <t>Divine Leather Hood</t>
  </si>
  <si>
    <t>Leather Shield</t>
  </si>
  <si>
    <t>Divine Leather Shield</t>
  </si>
  <si>
    <t>Lichslayer</t>
  </si>
  <si>
    <t>Divine Lichslayer</t>
  </si>
  <si>
    <t>This ancient Daedric longsword was forged with one goal in mind: to annihilate the most powerful of all undead, the dreaded Lich, and in capable hands it will do just that.</t>
  </si>
  <si>
    <t>Maul of the Aureal</t>
  </si>
  <si>
    <t>Divine Maul of the Aureal</t>
  </si>
  <si>
    <t>Legend has it these terrifying weapons gave the Aureal their greatest military victory, though it is not quite clear against whom. The mauls are thought to be made from gold, moonstone, and Daedra hearts.</t>
  </si>
  <si>
    <t>Mephala's Teacher</t>
  </si>
  <si>
    <t>Divine Mephala's Teacher</t>
  </si>
  <si>
    <t>192 / 220.8</t>
  </si>
  <si>
    <t>Legend says the Daedric spider queen Mephala used this fearsome implement when she needed to remind wayward underlings that discipline is the key to any well executed plan.</t>
  </si>
  <si>
    <t>Orcish Battleaxe</t>
  </si>
  <si>
    <t>Divine Orcish Battleaxe</t>
  </si>
  <si>
    <t>Orcish Dagger</t>
  </si>
  <si>
    <t>Divine Orcish Dagger</t>
  </si>
  <si>
    <t>Orcish Greatsword</t>
  </si>
  <si>
    <t>Divine Orcish Greatsword</t>
  </si>
  <si>
    <t>Orcish Hand Axe</t>
  </si>
  <si>
    <t>Divine Orcish Hand Axe</t>
  </si>
  <si>
    <t>Orcish Light Hammer</t>
  </si>
  <si>
    <t>Divine Orcish Light Hammer</t>
  </si>
  <si>
    <t>Orcish Longsword</t>
  </si>
  <si>
    <t>Divine Orcish Longsword</t>
  </si>
  <si>
    <t>Orcish Mace</t>
  </si>
  <si>
    <t>Divine Orcish Mace</t>
  </si>
  <si>
    <t>Orcish Plate Armor</t>
  </si>
  <si>
    <t>Divine Orcish Plate Armor</t>
  </si>
  <si>
    <t>Orcish Plate Boots</t>
  </si>
  <si>
    <t>Divine Orcish Plate Boots</t>
  </si>
  <si>
    <t>Orcish Plate Gauntlets</t>
  </si>
  <si>
    <t>Divine Orcish Plate Gauntlets</t>
  </si>
  <si>
    <t>Orcish Plate Helmet</t>
  </si>
  <si>
    <t>Divine Orcish Plate Helmet</t>
  </si>
  <si>
    <t>Orcish Scaled Armor</t>
  </si>
  <si>
    <t>Divine Orcish Scaled Armor</t>
  </si>
  <si>
    <t>Orcish Scaled Boots</t>
  </si>
  <si>
    <t>Divine Orcish Scaled Boots</t>
  </si>
  <si>
    <t>Orcish Scaled Gauntlets</t>
  </si>
  <si>
    <t>Divine Orcish Scaled Gauntlets</t>
  </si>
  <si>
    <t>Orcish Scaled Helmet</t>
  </si>
  <si>
    <t>Divine Orcish Scaled Helmet</t>
  </si>
  <si>
    <t>Orcish Scaled Shield</t>
  </si>
  <si>
    <t>Divine Orcish Scaled Shield</t>
  </si>
  <si>
    <t>Orcish Shield</t>
  </si>
  <si>
    <t>Divine Orcish Shield</t>
  </si>
  <si>
    <t>Orcish War Axe</t>
  </si>
  <si>
    <t>Divine Orcish War Axe</t>
  </si>
  <si>
    <t>Orcish Warhammer</t>
  </si>
  <si>
    <t>Divine Orcish Warhammer</t>
  </si>
  <si>
    <t>Paladin's Helmet</t>
  </si>
  <si>
    <t>Divine Paladin's Helmet</t>
  </si>
  <si>
    <t>This life-sustaining helmet is said to have been used by the founder of the Order of the Hour, one of the oldest chivalrous orders in all of Tamriel. It counts as Dragonplate for the purposes of the Matching Set perk.</t>
  </si>
  <si>
    <t>Paladin's Mail</t>
  </si>
  <si>
    <t>Divine Paladin's Mail</t>
  </si>
  <si>
    <t>Legend says this highly enchanted suit of armor belonged to the founder of the oldest orders of knighthood in Imperial history, the Order of the Hour. It counts as Dragonplate for the purposes of the Matching Set perk.</t>
  </si>
  <si>
    <t>Purifier's Cocoon</t>
  </si>
  <si>
    <t>Divine Purifier's Cocoon</t>
  </si>
  <si>
    <t>Originally designed to shield its wearer from toxic ash, this armor will protect against all kinds of dangerous diseases and impurities. It counts as Dragonscale for the purposes of the Matching Set perk.</t>
  </si>
  <si>
    <t>Quicksilver Armor</t>
  </si>
  <si>
    <t>Divine Quicksilver Armor</t>
  </si>
  <si>
    <t>Quicksilver Boots</t>
  </si>
  <si>
    <t>Divine Quicksilver Boots</t>
  </si>
  <si>
    <t>Quicksilver Gauntlets</t>
  </si>
  <si>
    <t>Divine Quicksilver Gauntlets</t>
  </si>
  <si>
    <t>Quicksilver Helmet</t>
  </si>
  <si>
    <t>Divine Quicksilver Helmet</t>
  </si>
  <si>
    <t>Quicksilver Shield</t>
  </si>
  <si>
    <t>Divine Quicksilver Shield</t>
  </si>
  <si>
    <t>Serpentstrike</t>
  </si>
  <si>
    <t>Divine Serpentstrike</t>
  </si>
  <si>
    <t>This highly venomous weapon is said to have been tempered in basilisk's blood, before those foul creatures were wiped out from Valenwood by the Altmer.</t>
  </si>
  <si>
    <t>Shield of Stasis</t>
  </si>
  <si>
    <t>Divine Shield of Stasis</t>
  </si>
  <si>
    <t>777Sigils</t>
  </si>
  <si>
    <t>16,299Gold</t>
  </si>
  <si>
    <t>This powerful shield is known for sapping the will to fight from even the most battle-hardened of warriors. No one knows of its origins, though some suspect it was not made on Tamriel.</t>
  </si>
  <si>
    <t>Silver Armor</t>
  </si>
  <si>
    <t>Divine Silver Armor</t>
  </si>
  <si>
    <t>Silver Battleaxe</t>
  </si>
  <si>
    <t>Divine Silver Battleaxe</t>
  </si>
  <si>
    <t>Silver Boots</t>
  </si>
  <si>
    <t>Divine Silver Boots</t>
  </si>
  <si>
    <t>Silver Dagger</t>
  </si>
  <si>
    <t>Divine Silver Dagger</t>
  </si>
  <si>
    <t>Silver Gauntlets</t>
  </si>
  <si>
    <t>Divine Silver Gauntlets</t>
  </si>
  <si>
    <t>Silver Greatsword</t>
  </si>
  <si>
    <t>Divine Silver Greatsword</t>
  </si>
  <si>
    <t>Silver Hand Axe</t>
  </si>
  <si>
    <t>Divine Silver Hand Axe</t>
  </si>
  <si>
    <t>Silver Helmet</t>
  </si>
  <si>
    <t>Divine Silver Helmet</t>
  </si>
  <si>
    <t>Silver Light Hammer</t>
  </si>
  <si>
    <t>Divine Silver Light Hammer</t>
  </si>
  <si>
    <t>Silver Longsword</t>
  </si>
  <si>
    <t>Divine Silver Longsword</t>
  </si>
  <si>
    <t>Silver Mace</t>
  </si>
  <si>
    <t>Divine Silver Mace</t>
  </si>
  <si>
    <t>Silver Shield</t>
  </si>
  <si>
    <t>Divine Silver Shield</t>
  </si>
  <si>
    <t>Silver War Axe</t>
  </si>
  <si>
    <t>Divine Silver War Axe</t>
  </si>
  <si>
    <t>Silver Warhammer</t>
  </si>
  <si>
    <t>Divine Silver Warhammer</t>
  </si>
  <si>
    <t>Spiderfang</t>
  </si>
  <si>
    <t>Divine Spiderfang</t>
  </si>
  <si>
    <t>This monstrous battleaxe is rumored to have been infused with the venom of a thousand giant spiders at some point during the First Era, though no one knows how anyone could have achieved such a feat.</t>
  </si>
  <si>
    <t>Stalhrim Armor</t>
  </si>
  <si>
    <t>Divine Stalhrim Armor</t>
  </si>
  <si>
    <t>Stalhrim Boots</t>
  </si>
  <si>
    <t>Divine Stalhrim Boots</t>
  </si>
  <si>
    <t>Stalhrim Gauntlets</t>
  </si>
  <si>
    <t>Divine Stalhrim Gauntlets</t>
  </si>
  <si>
    <t>Stalhrim Helmet</t>
  </si>
  <si>
    <t>Divine Stalhrim Helmet</t>
  </si>
  <si>
    <t>Stalhrim Shield</t>
  </si>
  <si>
    <t>Divine Stalhrim Shield</t>
  </si>
  <si>
    <t>Steel Armor</t>
  </si>
  <si>
    <t>Divine Steel Armor</t>
  </si>
  <si>
    <t>Steel Battleaxe</t>
  </si>
  <si>
    <t>Divine Steel Battleaxe</t>
  </si>
  <si>
    <t>Steel Boots</t>
  </si>
  <si>
    <t>Divine Steel Boots</t>
  </si>
  <si>
    <t>Steel Dagger</t>
  </si>
  <si>
    <t>Divine Steel Dagger</t>
  </si>
  <si>
    <t>Steel Gauntlets</t>
  </si>
  <si>
    <t>Divine Steel Gauntlets</t>
  </si>
  <si>
    <t>Steel Greatsword</t>
  </si>
  <si>
    <t>Divine Steel Greatsword</t>
  </si>
  <si>
    <t>Steel Hand Axe</t>
  </si>
  <si>
    <t>Divine Steel Hand Axe</t>
  </si>
  <si>
    <t>Steel Helmet</t>
  </si>
  <si>
    <t>Divine Steel Helmet</t>
  </si>
  <si>
    <t>Steel Light Hammer</t>
  </si>
  <si>
    <t>Divine Steel Light Hammer</t>
  </si>
  <si>
    <t>Steel Longsword</t>
  </si>
  <si>
    <t>Divine Steel Longsword</t>
  </si>
  <si>
    <t>Steel Mace</t>
  </si>
  <si>
    <t>Divine Steel Mace</t>
  </si>
  <si>
    <t>Steel Shield</t>
  </si>
  <si>
    <t>Divine Steel Shield</t>
  </si>
  <si>
    <t>Steel War Axe</t>
  </si>
  <si>
    <t>Divine Steel War Axe</t>
  </si>
  <si>
    <t>Steel Warhammer</t>
  </si>
  <si>
    <t>Divine Steel Warhammer</t>
  </si>
  <si>
    <t>Stormkiss</t>
  </si>
  <si>
    <t>Divine Stormkiss</t>
  </si>
  <si>
    <t>This enchanted axe, which belonged to the son of a First Age King of Skyrim, was lost for centuries until the Nerevarine unearthed it from an ancient tomb in Morrowind.</t>
  </si>
  <si>
    <t>Sunderblade</t>
  </si>
  <si>
    <t>Divine Sunderblade</t>
  </si>
  <si>
    <t>This legendary weapon belonged to the first leader of the Akaviri Dragonguards, who were sworn to the protection of Emperor Reman Cyrodiil, and who eventually became the order of the Blades.</t>
  </si>
  <si>
    <t>Thunderfell</t>
  </si>
  <si>
    <t>Divine Thunderfell</t>
  </si>
  <si>
    <t>This dangerous weapon, also sometimes called "Skeleton's Bane" for its effect on these creatures, is rumored to be imbued with the power of a hundred storm atronachs.</t>
  </si>
  <si>
    <t>Witsplinter</t>
  </si>
  <si>
    <t>Divine Witsplinter</t>
  </si>
  <si>
    <t>This agile blade is used to seal the minds of spellcasters, making them easy targets for skilled fighters.</t>
  </si>
  <si>
    <t>URL</t>
  </si>
  <si>
    <t>https://en.uesp.net/wiki/Blades:Areldur%27s_Armor</t>
  </si>
  <si>
    <t>https://en.uesp.net/wiki/Blades:Baridan%27s_Axe</t>
  </si>
  <si>
    <t>https://en.uesp.net/wiki/Blades:Boots_of_Dispersion</t>
  </si>
  <si>
    <t>https://en.uesp.net/wiki/Blades:Breathtaker</t>
  </si>
  <si>
    <t>https://en.uesp.net/wiki/Blades:Captain_Kordan%27s_Saber</t>
  </si>
  <si>
    <t>https://en.uesp.net/wiki/Blades:Conjurer%27s_Gloves</t>
  </si>
  <si>
    <t>https://en.uesp.net/wiki/Blades:Flame_Monarch%27s_Crown</t>
  </si>
  <si>
    <t>https://en.uesp.net/wiki/Blades:Lichslayer</t>
  </si>
  <si>
    <t>https://en.uesp.net/wiki/Blades:Maul_of_the_Aureal</t>
  </si>
  <si>
    <t>https://en.uesp.net/wiki/Blades:Mephala%27s_Teacher</t>
  </si>
  <si>
    <t>https://en.uesp.net/wiki/Blades:Paladin%27s_Helmet</t>
  </si>
  <si>
    <t>https://en.uesp.net/wiki/Blades:Paladin%27s_Mail</t>
  </si>
  <si>
    <t>https://en.uesp.net/wiki/Blades:Purifier%27s_Cocoon</t>
  </si>
  <si>
    <t>https://en.uesp.net/wiki/Blades:Serpentstrike</t>
  </si>
  <si>
    <t>https://en.uesp.net/wiki/Blades:Shield_of_Stasis</t>
  </si>
  <si>
    <t>https://en.uesp.net/wiki/Blades:Spiderfang</t>
  </si>
  <si>
    <t>https://en.uesp.net/wiki/Blades:Stormkiss</t>
  </si>
  <si>
    <t>https://en.uesp.net/wiki/Blades:Thunderfell</t>
  </si>
  <si>
    <t>https://en.uesp.net/wiki/Blades:Sunderblade</t>
  </si>
  <si>
    <t>https://en.uesp.net/wiki/Blades:Witsplinter</t>
  </si>
  <si>
    <t>Appearance</t>
  </si>
  <si>
    <t>Elven Hunter Cuirass</t>
  </si>
  <si>
    <t>Magebane (Ghosts)</t>
  </si>
  <si>
    <t>Unique</t>
  </si>
  <si>
    <t>Daedric Helmet</t>
  </si>
  <si>
    <t>Daedric Sword</t>
  </si>
  <si>
    <t>Steel Soldier Helmet</t>
  </si>
  <si>
    <t>Steel Soldier Armor</t>
  </si>
  <si>
    <t>Potential Source</t>
  </si>
  <si>
    <t>Blades Effects</t>
  </si>
  <si>
    <t>+139 Maximum Magicka</t>
  </si>
  <si>
    <t>+17 Spell resistance</t>
  </si>
  <si>
    <t>+22 Magicka regeneration per second</t>
  </si>
  <si>
    <t>+57 Shock resistance</t>
  </si>
  <si>
    <t>+17 spell resistance</t>
  </si>
  <si>
    <t>+5 Stamina regeneration per second</t>
  </si>
  <si>
    <t>+9 Shock resistance</t>
  </si>
  <si>
    <t>Elven Hunter Gauntlets</t>
  </si>
  <si>
    <t>Restores Magicka by damage done, up to 10 for light weapons, 13 for versatile ones, and 16 for other attacks.</t>
  </si>
  <si>
    <t>Increases physical damage by 26 against targets suffering a condition.</t>
  </si>
  <si>
    <t>+9 Magicka regeneration per second</t>
  </si>
  <si>
    <t>+68 Fire resistance</t>
  </si>
  <si>
    <t>+26 Resistance to physical damage while Health is critical</t>
  </si>
  <si>
    <t>+12 Fire resistance</t>
  </si>
  <si>
    <t>+12 Slashing resistance</t>
  </si>
  <si>
    <t>Daedric (Mail) Helmet</t>
  </si>
  <si>
    <t>+110.64 Maximum Health</t>
  </si>
  <si>
    <t>+16.8 Spell resistance</t>
  </si>
  <si>
    <t>+25.2 Resistance to physical damage while Health is critical</t>
  </si>
  <si>
    <t>+111 Maximum Health</t>
  </si>
  <si>
    <t>+67.2 Poison resistance</t>
  </si>
  <si>
    <t>+10.58 Magicka regeneration per second</t>
  </si>
  <si>
    <t>+20.17 Poison resistance</t>
  </si>
  <si>
    <t>Does 256 damage to Stamina on a blocked attack or Shield Bash</t>
  </si>
  <si>
    <t>Reduces target's maximum Stamina by 53 on a blocked attack or Shield Bash</t>
  </si>
  <si>
    <t>Reduces target's maximum Magicka by 53 on a blocked attack or Shield Bash</t>
  </si>
  <si>
    <t>+720 Block Rating against bashing damage</t>
  </si>
  <si>
    <t>+961 Block Rating against frost damage</t>
  </si>
  <si>
    <t>Vs Dragon Tier</t>
  </si>
  <si>
    <t>Class</t>
  </si>
  <si>
    <t>Light</t>
  </si>
  <si>
    <t>Heavy</t>
  </si>
  <si>
    <t>10/10</t>
  </si>
  <si>
    <t>Fortify Magicka</t>
  </si>
  <si>
    <t>Resist Spells</t>
  </si>
  <si>
    <t>Physical Mercy</t>
  </si>
  <si>
    <t>Critical Health: 30%</t>
  </si>
  <si>
    <t>Fortify Magicka Regeneration</t>
  </si>
  <si>
    <t>3/4</t>
  </si>
  <si>
    <t>1/1</t>
  </si>
  <si>
    <t>1/4</t>
  </si>
  <si>
    <t>Resist Shock</t>
  </si>
  <si>
    <t>0.4/10</t>
  </si>
  <si>
    <t>Increases physical damage by 25 while Health is critical.</t>
  </si>
  <si>
    <t>Resist Fire</t>
  </si>
  <si>
    <t>0.5/10</t>
  </si>
  <si>
    <t>Fortify Stamina Regeneration</t>
  </si>
  <si>
    <t>Absorb Magicka</t>
  </si>
  <si>
    <t>Physical Opportunist</t>
  </si>
  <si>
    <t>Physical Adrenaline</t>
  </si>
  <si>
    <t>Resist Slashing</t>
  </si>
  <si>
    <t>0.5?</t>
  </si>
  <si>
    <t>Fortify Health</t>
  </si>
  <si>
    <t>Resist Poison</t>
  </si>
  <si>
    <t>1/10</t>
  </si>
  <si>
    <t>Stamina Damage</t>
  </si>
  <si>
    <t>Ravage Stamina</t>
  </si>
  <si>
    <t>Ravage Magicka</t>
  </si>
  <si>
    <t>Block Bonus Vs Bashing</t>
  </si>
  <si>
    <t>Block Bonus Vs Frost</t>
  </si>
  <si>
    <t>0/0</t>
  </si>
  <si>
    <t>Effect Name</t>
  </si>
  <si>
    <t>Weapon Type</t>
  </si>
  <si>
    <t>Vs Dragonbone</t>
  </si>
  <si>
    <t>Does 57 frost damage to Health and Stamina.</t>
  </si>
  <si>
    <t>Frost damage is 15 points more effective at Freezing.</t>
  </si>
  <si>
    <t>Reduces target's maximum Magicka by 42.</t>
  </si>
  <si>
    <t>Increases damage against blocking targets by 157.</t>
  </si>
  <si>
    <t>Reduces target's maximum Stamina by 53.</t>
  </si>
  <si>
    <t>Reduces target's maximum Magicka by 53.</t>
  </si>
  <si>
    <t>Does 68 fire damage.</t>
  </si>
  <si>
    <t>Fire damage is 17 points more effective at setting On Fire.</t>
  </si>
  <si>
    <t>Does 79 fire damage.</t>
  </si>
  <si>
    <t>Does 56.7 frost damage to Health and Stamina.</t>
  </si>
  <si>
    <t>Frost damage is 14.18 points more effective at Freezing.</t>
  </si>
  <si>
    <t>Reduces target's maximum Stamina by 42.</t>
  </si>
  <si>
    <t>Does 68 poison damage.</t>
  </si>
  <si>
    <t>Does 79 poison damage.</t>
  </si>
  <si>
    <t>Does 66.23 frost damage to Health and Stamina.</t>
  </si>
  <si>
    <t>Reduces target's maximum Magicka by 52.66.</t>
  </si>
  <si>
    <t>Increases damage against blocking targets by 181.</t>
  </si>
  <si>
    <t>Improves main enchantment by 15% (applied).</t>
  </si>
  <si>
    <t>Does 57 shock damage to Health and Magicka.</t>
  </si>
  <si>
    <t>Does 154 damage to Magicka.</t>
  </si>
  <si>
    <t>Reduces target's maximum Magicka by 32.</t>
  </si>
  <si>
    <t>Reduces target's maximum Health by 32.</t>
  </si>
  <si>
    <t>War Axe</t>
  </si>
  <si>
    <t>Greatsword</t>
  </si>
  <si>
    <t>Warhammer</t>
  </si>
  <si>
    <t>Dagger</t>
  </si>
  <si>
    <t>Mace</t>
  </si>
  <si>
    <t>Sword</t>
  </si>
  <si>
    <t>Battleaxe</t>
  </si>
  <si>
    <t>Frost Damage</t>
  </si>
  <si>
    <t>Fortify Frozen</t>
  </si>
  <si>
    <t>Fortify Blocked Damage</t>
  </si>
  <si>
    <t>12/10</t>
  </si>
  <si>
    <t>Fortify Burning</t>
  </si>
  <si>
    <t>Fire Damage</t>
  </si>
  <si>
    <t>Poison Damage</t>
  </si>
  <si>
    <t>Fortify Primary Effect</t>
  </si>
  <si>
    <t>Shock Damage</t>
  </si>
  <si>
    <t>Magicka Damage</t>
  </si>
  <si>
    <t>Ravage Health</t>
  </si>
  <si>
    <t>Blades Armor Effects</t>
  </si>
  <si>
    <t>Blades Desc</t>
  </si>
  <si>
    <t>Blades Weapon Effects</t>
  </si>
  <si>
    <t>Restores Magicka by damage done, up to &lt;magnitude&gt; for light weapons, &lt;magnitude2&gt; for versatile ones, and &lt;magnitude3&gt; for other attacks.</t>
  </si>
  <si>
    <t>+&lt;magnitude&gt; Block Rating against bashing damage (mace, warhammer, shield).</t>
  </si>
  <si>
    <t>+&lt;magnitude&gt; Block Rating against frost damage.</t>
  </si>
  <si>
    <t>Increases physical damage by &lt;magnitude&gt; while Health is critical (&lt;30%).</t>
  </si>
  <si>
    <t>+&lt;magnitude&gt; Resistance to physical damage while Health is critical (&lt;30%).</t>
  </si>
  <si>
    <t>Increases physical damage by &lt;magnitude&gt; against targets suffering a condition (On Fire, Frozen, Drained, Poisoned).</t>
  </si>
  <si>
    <t>Reduces target's maximum Health by &lt;magnitude&gt;.</t>
  </si>
  <si>
    <t>Reduces target's maximum Stamina by &lt;magnitude&gt;.</t>
  </si>
  <si>
    <t>Reduces target's maximum Stamina by &lt;magnitude&gt; on a blocked attack or Shield Bash.</t>
  </si>
  <si>
    <t>Reduces target's maximum Magicka by &lt;magnitude&gt;.</t>
  </si>
  <si>
    <t>Reduces target's maximum Magicka by &lt;magnitude&gt; on a blocked attack or Shield Bash.</t>
  </si>
  <si>
    <t>+&lt;magnitude&gt; Slashing resistance.</t>
  </si>
  <si>
    <t>Increases damage against blocking targets by &lt;magnitude&gt;.</t>
  </si>
  <si>
    <t>Fire damage is &lt;magnitude&gt; points more effective at setting On Fire.</t>
  </si>
  <si>
    <t>Frost damage is &lt;magnitude&gt; points more effective at Freezing.</t>
  </si>
  <si>
    <t>Improves main enchantment by &lt;magnitude&gt;% (applied).</t>
  </si>
  <si>
    <t>Skyrim Effect</t>
  </si>
  <si>
    <t>Fortify Block</t>
  </si>
  <si>
    <t>Resist Frost</t>
  </si>
  <si>
    <t>Resist Magic</t>
  </si>
  <si>
    <t>Fortify Heavy/Light Armor</t>
  </si>
  <si>
    <t>Does &lt;magnitude&gt; damage to Stamina on a blocked attack or Shield Bash.</t>
  </si>
  <si>
    <t>Fortify Magicka Regen</t>
  </si>
  <si>
    <t>Fortify Stamina Regen</t>
  </si>
  <si>
    <t>Ravage Health (new)</t>
  </si>
  <si>
    <t>Ravage Magicka (new)</t>
  </si>
  <si>
    <t>Ravage Stamina (new)</t>
  </si>
  <si>
    <t>Poison Damage (new)</t>
  </si>
  <si>
    <t>Shatter Block (new)</t>
  </si>
  <si>
    <t>Ravage Magicka (Bash Spell) (new)</t>
  </si>
  <si>
    <t>Ravage Stamina (Bash Spell) (new)</t>
  </si>
  <si>
    <t>Physical Opportunist (new)</t>
  </si>
  <si>
    <t>Physical Mercy (new)</t>
  </si>
  <si>
    <t>Increase duration of fire damage.</t>
  </si>
  <si>
    <t>Increase duration of slow.</t>
  </si>
  <si>
    <t>Increase magnitude of main enchantment.</t>
  </si>
  <si>
    <t>Physical Adrenaline (new)</t>
  </si>
  <si>
    <t>Type</t>
  </si>
  <si>
    <t>Cuirass</t>
  </si>
  <si>
    <t>Boots</t>
  </si>
  <si>
    <t>Gauntlets</t>
  </si>
  <si>
    <t>Helmet</t>
  </si>
  <si>
    <t>Shield</t>
  </si>
  <si>
    <t>Stamina Damage (Bash Spell) (new)</t>
  </si>
  <si>
    <t>Fortify Light Armor</t>
  </si>
  <si>
    <t>Mag</t>
  </si>
  <si>
    <t>2/6</t>
  </si>
  <si>
    <t>1/6</t>
  </si>
  <si>
    <t>0/6</t>
  </si>
  <si>
    <t>2/10</t>
  </si>
  <si>
    <t>3/10</t>
  </si>
  <si>
    <t>Resist Disease</t>
  </si>
  <si>
    <t>1/2</t>
  </si>
  <si>
    <t>2/2</t>
  </si>
  <si>
    <t>4/6</t>
  </si>
  <si>
    <t>5/6</t>
  </si>
  <si>
    <t>3/6</t>
  </si>
  <si>
    <t>6/6</t>
  </si>
  <si>
    <t>Dur</t>
  </si>
  <si>
    <t>Slow</t>
  </si>
  <si>
    <t>Shatter Block</t>
  </si>
  <si>
    <t>Spell Absorption</t>
  </si>
  <si>
    <t>Ravage Magicka (Bash Spell)</t>
  </si>
  <si>
    <t>Ravage Stamina (Bash Spell)</t>
  </si>
  <si>
    <t>Stamina Damage (Bash Spell)</t>
  </si>
  <si>
    <t>Skyrim Desc</t>
  </si>
  <si>
    <t>Does &lt;magnitude&gt; poison damage.</t>
  </si>
  <si>
    <t>Skyrim Editor ID</t>
  </si>
  <si>
    <t>EnchPoisonDamageFFContact</t>
  </si>
  <si>
    <t>EnchFireDamageLongFFContact</t>
  </si>
  <si>
    <t>Burns the target for &lt;mag&gt; points for &lt;dur&gt; seconds.</t>
  </si>
  <si>
    <t>Absorb &lt;mag&gt;% of the magicka from hostile spells.</t>
  </si>
  <si>
    <t>EnchAbsorbSpells</t>
  </si>
  <si>
    <t>Target takes &lt;mag&gt; points of poison damage.</t>
  </si>
  <si>
    <t>Reduces target's maximum Health by &lt;mag&gt; for &lt;dur&gt; seconds.</t>
  </si>
  <si>
    <t>EnchDamageRavageHealth</t>
  </si>
  <si>
    <t>EnchDamageRavageMagicka</t>
  </si>
  <si>
    <t>EnchDamageRavageStamina</t>
  </si>
  <si>
    <t>Reduces target's maximum Magicka by &lt;mag&gt; for &lt;dur&gt; seconds.</t>
  </si>
  <si>
    <t>Reduces target's maximum Stamina by &lt;mag&gt; for &lt;dur&gt; seconds.</t>
  </si>
  <si>
    <t>Fire Damage - Burning</t>
  </si>
  <si>
    <t>Bash Spell UI FX</t>
  </si>
  <si>
    <t>EnchStasisBashUI</t>
  </si>
  <si>
    <t>Physical attacks do &lt;mag&gt;% more damage while your health is &lt;critical&gt;.</t>
  </si>
  <si>
    <t>Ignore &lt;mag&gt;% of physical damage while your health is &lt;critical&gt;.</t>
  </si>
  <si>
    <t>EnchFortifyCriticalDamage</t>
  </si>
  <si>
    <t>EnchResistCriticalDamage</t>
  </si>
  <si>
    <t>Physical attacks do &lt;mag&gt;% more damage to targets who are on fire, slowed, or poisoned.</t>
  </si>
  <si>
    <t>EnchFortifyStatusDamage</t>
  </si>
  <si>
    <t>&lt;Blocking&gt; targets take &lt;mag&gt; points more damage.</t>
  </si>
  <si>
    <t>When bashing, does &lt;10&gt; points of Stamina damage and reduces target's maximum Stamina and Magicka by &lt;20&gt; for &lt;20&gt; seconds.</t>
  </si>
  <si>
    <t>Frost Damage - Freezing</t>
  </si>
  <si>
    <t>FrostSlowLongFFContact</t>
  </si>
  <si>
    <t>Target is slowed for &lt;dur&gt; seconds.</t>
  </si>
  <si>
    <t>EnchAntiBlockDamageFFContact</t>
  </si>
  <si>
    <t>Effect Description</t>
  </si>
  <si>
    <t>Tier</t>
  </si>
  <si>
    <t>Skyrim Effects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</si>
</sst>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font>
      <sz val="11"/>
      <color theme="1"/>
      <name val="Aptos Narrow"/>
      <family val="2"/>
      <scheme val="minor"/>
    </font>
    <font>
      <i/>
      <sz val="11"/>
      <color theme="1"/>
      <name val="Aptos Narrow"/>
      <scheme val="minor"/>
    </font>
  </fonts>
  <fills count="3">
    <fill>
      <patternFill patternType="none"/>
    </fill>
    <fill>
      <patternFill patternType="gray125"/>
    </fill>
    <fill>
      <patternFill patternType="solid">
        <fgColor rgb="FFC00000"/>
        <bgColor indexed="64"/>
      </patternFill>
    </fill>
  </fills>
  <borders count="1">
    <border>
      <left/>
      <right/>
      <top/>
      <bottom/>
      <diagonal/>
    </border>
  </borders>
  <cellStyleXfs count="1">
    <xf numFmtId="0" fontId="0" fillId="0" borderId="0"/>
  </cellStyleXfs>
  <cellXfs count="19">
    <xf numFmtId="0" fontId="0" fillId="0" borderId="0" xfId="0"/>
    <xf numFmtId="0" fontId="0" fillId="2" borderId="0" xfId="0" applyFill="1"/>
    <xf numFmtId="0" fontId="0" fillId="0" borderId="0" xfId="0" quotePrefix="1"/>
    <xf numFmtId="164" fontId="0" fillId="0" borderId="0" xfId="0" applyNumberFormat="1"/>
    <xf numFmtId="49" fontId="0" fillId="0" borderId="0" xfId="0" applyNumberFormat="1"/>
    <xf numFmtId="49" fontId="0" fillId="0" borderId="0" xfId="0" quotePrefix="1" applyNumberFormat="1"/>
    <xf numFmtId="0" fontId="1" fillId="0" borderId="0" xfId="0" applyFont="1"/>
    <xf numFmtId="9" fontId="0" fillId="0" borderId="0" xfId="0" applyNumberFormat="1"/>
    <xf numFmtId="9" fontId="0" fillId="0" borderId="0" xfId="0" quotePrefix="1" applyNumberFormat="1"/>
    <xf numFmtId="16" fontId="0" fillId="0" borderId="0" xfId="0" quotePrefix="1" applyNumberFormat="1"/>
    <xf numFmtId="0" fontId="0" fillId="0" borderId="0" xfId="0" applyAlignment="1">
      <alignment horizontal="left" vertical="center"/>
    </xf>
    <xf numFmtId="0" fontId="0" fillId="0" borderId="0" xfId="0" applyAlignment="1">
      <alignment horizontal="left" vertical="top" wrapText="1"/>
    </xf>
    <xf numFmtId="164" fontId="0" fillId="0" borderId="0" xfId="0" applyNumberFormat="1" applyAlignment="1">
      <alignment horizontal="right" vertical="center"/>
    </xf>
    <xf numFmtId="0" fontId="0" fillId="0" borderId="0" xfId="0" applyAlignment="1">
      <alignment horizontal="right" vertical="center"/>
    </xf>
    <xf numFmtId="0" fontId="0" fillId="2" borderId="0" xfId="0" applyFill="1" applyAlignment="1">
      <alignment horizontal="left" vertical="center"/>
    </xf>
    <xf numFmtId="0" fontId="0" fillId="0" borderId="0" xfId="0" applyNumberFormat="1"/>
    <xf numFmtId="0" fontId="0" fillId="0" borderId="0" xfId="0" applyAlignment="1">
      <alignment horizontal="center"/>
    </xf>
    <xf numFmtId="164" fontId="0" fillId="0" borderId="0" xfId="0" applyNumberFormat="1" applyAlignment="1">
      <alignment horizontal="center"/>
    </xf>
    <xf numFmtId="49"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4DEE-103A-4324-8F8A-173415C61CCF}">
  <dimension ref="A1:L224"/>
  <sheetViews>
    <sheetView workbookViewId="0"/>
  </sheetViews>
  <sheetFormatPr defaultRowHeight="14.25"/>
  <cols>
    <col min="1" max="1" width="24.5" bestFit="1" customWidth="1"/>
    <col min="2" max="2" width="30.25" bestFit="1" customWidth="1"/>
    <col min="3" max="3" width="9.375" bestFit="1" customWidth="1"/>
    <col min="4" max="4" width="11.125" bestFit="1" customWidth="1"/>
    <col min="5" max="5" width="11" bestFit="1" customWidth="1"/>
    <col min="6" max="6" width="9.875" bestFit="1" customWidth="1"/>
    <col min="7" max="7" width="18.25" bestFit="1" customWidth="1"/>
    <col min="8" max="8" width="11.125" bestFit="1" customWidth="1"/>
    <col min="9" max="9" width="12.625" bestFit="1" customWidth="1"/>
    <col min="10" max="10" width="11.625" bestFit="1" customWidth="1"/>
    <col min="11" max="11" width="17.125" bestFit="1" customWidth="1"/>
    <col min="12" max="12" width="217.25" bestFit="1" customWidth="1"/>
  </cols>
  <sheetData>
    <row r="1" spans="1:12">
      <c r="B1" t="s">
        <v>0</v>
      </c>
      <c r="C1" t="s">
        <v>1</v>
      </c>
      <c r="D1" t="s">
        <v>2</v>
      </c>
      <c r="E1" t="s">
        <v>3</v>
      </c>
      <c r="F1" t="s">
        <v>4</v>
      </c>
      <c r="G1" t="s">
        <v>5</v>
      </c>
      <c r="H1" t="s">
        <v>6</v>
      </c>
      <c r="I1" t="s">
        <v>7</v>
      </c>
      <c r="J1" t="s">
        <v>8</v>
      </c>
      <c r="K1" t="s">
        <v>9</v>
      </c>
      <c r="L1" t="s">
        <v>10</v>
      </c>
    </row>
    <row r="3" spans="1:12">
      <c r="A3" t="s">
        <v>11</v>
      </c>
      <c r="B3" t="s">
        <v>12</v>
      </c>
      <c r="C3" t="s">
        <v>13</v>
      </c>
      <c r="D3" t="s">
        <v>14</v>
      </c>
      <c r="E3" t="s">
        <v>15</v>
      </c>
      <c r="F3" t="s">
        <v>16</v>
      </c>
      <c r="G3" t="s">
        <v>16</v>
      </c>
      <c r="H3" t="s">
        <v>16</v>
      </c>
      <c r="I3" t="s">
        <v>16</v>
      </c>
      <c r="J3">
        <v>302.39999999999998</v>
      </c>
      <c r="K3">
        <v>675</v>
      </c>
      <c r="L3" t="s">
        <v>17</v>
      </c>
    </row>
    <row r="4" spans="1:12">
      <c r="A4" t="s">
        <v>18</v>
      </c>
      <c r="B4" t="s">
        <v>19</v>
      </c>
      <c r="C4" t="s">
        <v>13</v>
      </c>
      <c r="D4" t="s">
        <v>20</v>
      </c>
      <c r="E4" t="s">
        <v>21</v>
      </c>
      <c r="F4">
        <v>192</v>
      </c>
      <c r="G4" t="s">
        <v>22</v>
      </c>
      <c r="H4">
        <v>168</v>
      </c>
      <c r="I4" t="s">
        <v>16</v>
      </c>
      <c r="J4" t="s">
        <v>16</v>
      </c>
      <c r="K4">
        <v>507</v>
      </c>
      <c r="L4" t="s">
        <v>23</v>
      </c>
    </row>
    <row r="5" spans="1:12">
      <c r="A5" t="s">
        <v>24</v>
      </c>
      <c r="B5" t="s">
        <v>25</v>
      </c>
      <c r="C5" t="s">
        <v>13</v>
      </c>
      <c r="D5" t="s">
        <v>26</v>
      </c>
      <c r="E5" t="s">
        <v>15</v>
      </c>
      <c r="F5" t="s">
        <v>16</v>
      </c>
      <c r="G5" t="s">
        <v>16</v>
      </c>
      <c r="H5" t="s">
        <v>16</v>
      </c>
      <c r="I5" t="s">
        <v>16</v>
      </c>
      <c r="J5">
        <v>123</v>
      </c>
      <c r="K5">
        <v>675</v>
      </c>
      <c r="L5" t="s">
        <v>27</v>
      </c>
    </row>
    <row r="6" spans="1:12">
      <c r="A6" t="s">
        <v>28</v>
      </c>
      <c r="B6" t="s">
        <v>29</v>
      </c>
      <c r="C6" t="s">
        <v>13</v>
      </c>
      <c r="D6" t="s">
        <v>20</v>
      </c>
      <c r="E6" t="s">
        <v>21</v>
      </c>
      <c r="F6">
        <v>240</v>
      </c>
      <c r="G6" t="s">
        <v>22</v>
      </c>
      <c r="H6">
        <v>216</v>
      </c>
      <c r="I6" t="s">
        <v>16</v>
      </c>
      <c r="J6" t="s">
        <v>16</v>
      </c>
      <c r="K6">
        <v>675</v>
      </c>
      <c r="L6" t="s">
        <v>30</v>
      </c>
    </row>
    <row r="7" spans="1:12">
      <c r="A7" t="s">
        <v>31</v>
      </c>
      <c r="B7" t="s">
        <v>32</v>
      </c>
      <c r="C7" t="s">
        <v>13</v>
      </c>
      <c r="D7" t="s">
        <v>20</v>
      </c>
      <c r="E7" t="s">
        <v>21</v>
      </c>
      <c r="F7">
        <v>240</v>
      </c>
      <c r="G7" t="s">
        <v>22</v>
      </c>
      <c r="H7">
        <v>216</v>
      </c>
      <c r="I7" t="s">
        <v>16</v>
      </c>
      <c r="J7" t="s">
        <v>16</v>
      </c>
      <c r="K7">
        <v>675</v>
      </c>
      <c r="L7" t="s">
        <v>33</v>
      </c>
    </row>
    <row r="8" spans="1:12">
      <c r="A8" t="s">
        <v>34</v>
      </c>
      <c r="B8" t="s">
        <v>35</v>
      </c>
      <c r="C8" t="s">
        <v>36</v>
      </c>
      <c r="D8" t="s">
        <v>37</v>
      </c>
      <c r="E8" t="s">
        <v>38</v>
      </c>
      <c r="F8" t="s">
        <v>16</v>
      </c>
      <c r="G8" t="s">
        <v>16</v>
      </c>
      <c r="H8" t="s">
        <v>16</v>
      </c>
      <c r="I8" t="s">
        <v>16</v>
      </c>
      <c r="J8">
        <v>277.2</v>
      </c>
      <c r="K8">
        <v>325</v>
      </c>
      <c r="L8" t="s">
        <v>39</v>
      </c>
    </row>
    <row r="9" spans="1:12">
      <c r="A9" t="s">
        <v>40</v>
      </c>
      <c r="B9" t="s">
        <v>41</v>
      </c>
      <c r="C9" t="s">
        <v>36</v>
      </c>
      <c r="D9" t="s">
        <v>42</v>
      </c>
      <c r="E9" t="s">
        <v>43</v>
      </c>
      <c r="F9" t="s">
        <v>16</v>
      </c>
      <c r="G9" t="s">
        <v>16</v>
      </c>
      <c r="H9" t="s">
        <v>16</v>
      </c>
      <c r="I9" t="s">
        <v>16</v>
      </c>
      <c r="J9">
        <v>112.2</v>
      </c>
      <c r="K9">
        <v>325</v>
      </c>
      <c r="L9" t="s">
        <v>39</v>
      </c>
    </row>
    <row r="10" spans="1:12">
      <c r="A10" t="s">
        <v>44</v>
      </c>
      <c r="B10" t="s">
        <v>45</v>
      </c>
      <c r="C10" t="s">
        <v>36</v>
      </c>
      <c r="D10" t="s">
        <v>42</v>
      </c>
      <c r="E10" t="s">
        <v>43</v>
      </c>
      <c r="F10" t="s">
        <v>16</v>
      </c>
      <c r="G10" t="s">
        <v>16</v>
      </c>
      <c r="H10" t="s">
        <v>16</v>
      </c>
      <c r="I10" t="s">
        <v>16</v>
      </c>
      <c r="J10">
        <v>112.2</v>
      </c>
      <c r="K10">
        <v>325</v>
      </c>
      <c r="L10" t="s">
        <v>39</v>
      </c>
    </row>
    <row r="11" spans="1:12">
      <c r="A11" t="s">
        <v>46</v>
      </c>
      <c r="B11" t="s">
        <v>47</v>
      </c>
      <c r="C11" t="s">
        <v>36</v>
      </c>
      <c r="D11" t="s">
        <v>48</v>
      </c>
      <c r="E11" t="s">
        <v>49</v>
      </c>
      <c r="F11" t="s">
        <v>16</v>
      </c>
      <c r="G11" t="s">
        <v>16</v>
      </c>
      <c r="H11" t="s">
        <v>16</v>
      </c>
      <c r="I11" t="s">
        <v>16</v>
      </c>
      <c r="J11">
        <v>158.4</v>
      </c>
      <c r="K11">
        <v>325</v>
      </c>
      <c r="L11" t="s">
        <v>39</v>
      </c>
    </row>
    <row r="12" spans="1:12">
      <c r="A12" t="s">
        <v>50</v>
      </c>
      <c r="B12" t="s">
        <v>51</v>
      </c>
      <c r="C12" t="s">
        <v>36</v>
      </c>
      <c r="D12" t="s">
        <v>52</v>
      </c>
      <c r="E12" t="s">
        <v>53</v>
      </c>
      <c r="F12" t="s">
        <v>16</v>
      </c>
      <c r="G12" t="s">
        <v>16</v>
      </c>
      <c r="H12">
        <v>330</v>
      </c>
      <c r="I12">
        <v>165</v>
      </c>
      <c r="J12" t="s">
        <v>16</v>
      </c>
      <c r="K12">
        <v>325</v>
      </c>
      <c r="L12" t="s">
        <v>54</v>
      </c>
    </row>
    <row r="13" spans="1:12">
      <c r="A13" t="s">
        <v>55</v>
      </c>
      <c r="B13" t="s">
        <v>56</v>
      </c>
      <c r="C13" t="s">
        <v>36</v>
      </c>
      <c r="D13" t="s">
        <v>57</v>
      </c>
      <c r="E13" t="s">
        <v>58</v>
      </c>
      <c r="F13" t="s">
        <v>16</v>
      </c>
      <c r="G13" t="s">
        <v>16</v>
      </c>
      <c r="H13" t="s">
        <v>16</v>
      </c>
      <c r="I13" t="s">
        <v>16</v>
      </c>
      <c r="J13">
        <v>207.9</v>
      </c>
      <c r="K13">
        <v>325</v>
      </c>
      <c r="L13" t="s">
        <v>59</v>
      </c>
    </row>
    <row r="14" spans="1:12">
      <c r="A14" t="s">
        <v>60</v>
      </c>
      <c r="B14" t="s">
        <v>61</v>
      </c>
      <c r="C14" t="s">
        <v>36</v>
      </c>
      <c r="D14" t="s">
        <v>62</v>
      </c>
      <c r="E14" t="s">
        <v>63</v>
      </c>
      <c r="F14" t="s">
        <v>16</v>
      </c>
      <c r="G14" t="s">
        <v>16</v>
      </c>
      <c r="H14" t="s">
        <v>16</v>
      </c>
      <c r="I14" t="s">
        <v>16</v>
      </c>
      <c r="J14">
        <v>84.15</v>
      </c>
      <c r="K14">
        <v>325</v>
      </c>
      <c r="L14" t="s">
        <v>59</v>
      </c>
    </row>
    <row r="15" spans="1:12">
      <c r="A15" t="s">
        <v>64</v>
      </c>
      <c r="B15" t="s">
        <v>65</v>
      </c>
      <c r="C15" t="s">
        <v>36</v>
      </c>
      <c r="D15" t="s">
        <v>62</v>
      </c>
      <c r="E15" t="s">
        <v>63</v>
      </c>
      <c r="F15" t="s">
        <v>16</v>
      </c>
      <c r="G15" t="s">
        <v>16</v>
      </c>
      <c r="H15" t="s">
        <v>16</v>
      </c>
      <c r="I15" t="s">
        <v>16</v>
      </c>
      <c r="J15">
        <v>84.15</v>
      </c>
      <c r="K15">
        <v>325</v>
      </c>
      <c r="L15" t="s">
        <v>59</v>
      </c>
    </row>
    <row r="16" spans="1:12">
      <c r="A16" t="s">
        <v>66</v>
      </c>
      <c r="B16" t="s">
        <v>67</v>
      </c>
      <c r="C16" t="s">
        <v>36</v>
      </c>
      <c r="D16" t="s">
        <v>52</v>
      </c>
      <c r="E16" t="s">
        <v>68</v>
      </c>
      <c r="F16" t="s">
        <v>16</v>
      </c>
      <c r="G16" t="s">
        <v>16</v>
      </c>
      <c r="H16" t="s">
        <v>16</v>
      </c>
      <c r="I16" t="s">
        <v>16</v>
      </c>
      <c r="J16">
        <v>118.8</v>
      </c>
      <c r="K16">
        <v>325</v>
      </c>
      <c r="L16" t="s">
        <v>59</v>
      </c>
    </row>
    <row r="17" spans="1:12">
      <c r="A17" t="s">
        <v>69</v>
      </c>
      <c r="B17" t="s">
        <v>70</v>
      </c>
      <c r="C17" t="s">
        <v>36</v>
      </c>
      <c r="D17" t="s">
        <v>71</v>
      </c>
      <c r="E17" t="s">
        <v>72</v>
      </c>
      <c r="F17" t="s">
        <v>16</v>
      </c>
      <c r="G17" t="s">
        <v>16</v>
      </c>
      <c r="H17">
        <v>247.5</v>
      </c>
      <c r="I17">
        <v>165</v>
      </c>
      <c r="J17" t="s">
        <v>16</v>
      </c>
      <c r="K17">
        <v>325</v>
      </c>
      <c r="L17" t="s">
        <v>73</v>
      </c>
    </row>
    <row r="18" spans="1:12">
      <c r="A18" t="s">
        <v>74</v>
      </c>
      <c r="B18" t="s">
        <v>75</v>
      </c>
      <c r="C18" t="s">
        <v>13</v>
      </c>
      <c r="D18" t="s">
        <v>76</v>
      </c>
      <c r="E18" t="s">
        <v>15</v>
      </c>
      <c r="F18" t="s">
        <v>16</v>
      </c>
      <c r="G18" t="s">
        <v>16</v>
      </c>
      <c r="H18" t="s">
        <v>16</v>
      </c>
      <c r="I18" t="s">
        <v>16</v>
      </c>
      <c r="J18">
        <v>122.4</v>
      </c>
      <c r="K18">
        <v>675</v>
      </c>
      <c r="L18" t="s">
        <v>77</v>
      </c>
    </row>
    <row r="19" spans="1:12">
      <c r="A19" t="s">
        <v>78</v>
      </c>
      <c r="B19" t="s">
        <v>79</v>
      </c>
      <c r="C19" t="s">
        <v>36</v>
      </c>
      <c r="D19" t="s">
        <v>80</v>
      </c>
      <c r="E19" t="s">
        <v>81</v>
      </c>
      <c r="F19">
        <v>165</v>
      </c>
      <c r="G19" t="s">
        <v>22</v>
      </c>
      <c r="H19">
        <v>148.5</v>
      </c>
      <c r="I19" t="s">
        <v>16</v>
      </c>
      <c r="J19" t="s">
        <v>16</v>
      </c>
      <c r="K19">
        <v>325</v>
      </c>
      <c r="L19" t="s">
        <v>82</v>
      </c>
    </row>
    <row r="20" spans="1:12">
      <c r="A20" t="s">
        <v>83</v>
      </c>
      <c r="B20" t="s">
        <v>84</v>
      </c>
      <c r="C20" t="s">
        <v>36</v>
      </c>
      <c r="D20" t="s">
        <v>85</v>
      </c>
      <c r="E20" t="s">
        <v>86</v>
      </c>
      <c r="F20">
        <v>99</v>
      </c>
      <c r="G20" t="s">
        <v>22</v>
      </c>
      <c r="H20">
        <v>49.5</v>
      </c>
      <c r="I20" t="s">
        <v>16</v>
      </c>
      <c r="J20" t="s">
        <v>16</v>
      </c>
      <c r="K20">
        <v>162.5</v>
      </c>
      <c r="L20" t="s">
        <v>82</v>
      </c>
    </row>
    <row r="21" spans="1:12">
      <c r="A21" t="s">
        <v>87</v>
      </c>
      <c r="B21" t="s">
        <v>88</v>
      </c>
      <c r="C21" t="s">
        <v>36</v>
      </c>
      <c r="D21" t="s">
        <v>80</v>
      </c>
      <c r="E21" t="s">
        <v>81</v>
      </c>
      <c r="F21">
        <v>165</v>
      </c>
      <c r="G21" t="s">
        <v>22</v>
      </c>
      <c r="H21">
        <v>148.5</v>
      </c>
      <c r="I21" t="s">
        <v>16</v>
      </c>
      <c r="J21" t="s">
        <v>16</v>
      </c>
      <c r="K21">
        <v>325</v>
      </c>
      <c r="L21" t="s">
        <v>82</v>
      </c>
    </row>
    <row r="22" spans="1:12">
      <c r="A22" t="s">
        <v>89</v>
      </c>
      <c r="B22" t="s">
        <v>90</v>
      </c>
      <c r="C22" t="s">
        <v>36</v>
      </c>
      <c r="D22" t="s">
        <v>85</v>
      </c>
      <c r="E22" t="s">
        <v>86</v>
      </c>
      <c r="F22">
        <v>99</v>
      </c>
      <c r="G22" t="s">
        <v>22</v>
      </c>
      <c r="H22">
        <v>49.5</v>
      </c>
      <c r="I22" t="s">
        <v>16</v>
      </c>
      <c r="J22" t="s">
        <v>16</v>
      </c>
      <c r="K22">
        <v>162.5</v>
      </c>
      <c r="L22" t="s">
        <v>82</v>
      </c>
    </row>
    <row r="23" spans="1:12">
      <c r="A23" t="s">
        <v>91</v>
      </c>
      <c r="B23" t="s">
        <v>92</v>
      </c>
      <c r="C23" t="s">
        <v>36</v>
      </c>
      <c r="D23" t="s">
        <v>85</v>
      </c>
      <c r="E23" t="s">
        <v>86</v>
      </c>
      <c r="F23">
        <v>99</v>
      </c>
      <c r="G23" t="s">
        <v>22</v>
      </c>
      <c r="H23">
        <v>49.5</v>
      </c>
      <c r="I23" t="s">
        <v>16</v>
      </c>
      <c r="J23" t="s">
        <v>16</v>
      </c>
      <c r="K23">
        <v>162.5</v>
      </c>
      <c r="L23" t="s">
        <v>82</v>
      </c>
    </row>
    <row r="24" spans="1:12">
      <c r="A24" t="s">
        <v>93</v>
      </c>
      <c r="B24" t="s">
        <v>94</v>
      </c>
      <c r="C24" t="s">
        <v>36</v>
      </c>
      <c r="D24" t="s">
        <v>71</v>
      </c>
      <c r="E24" t="s">
        <v>72</v>
      </c>
      <c r="F24" t="s">
        <v>16</v>
      </c>
      <c r="G24" t="s">
        <v>16</v>
      </c>
      <c r="H24">
        <v>247.5</v>
      </c>
      <c r="I24">
        <v>165</v>
      </c>
      <c r="J24" t="s">
        <v>16</v>
      </c>
      <c r="K24">
        <v>325</v>
      </c>
      <c r="L24" t="s">
        <v>73</v>
      </c>
    </row>
    <row r="25" spans="1:12">
      <c r="A25" t="s">
        <v>95</v>
      </c>
      <c r="B25" t="s">
        <v>96</v>
      </c>
      <c r="C25" t="s">
        <v>36</v>
      </c>
      <c r="D25" t="s">
        <v>97</v>
      </c>
      <c r="E25" t="s">
        <v>98</v>
      </c>
      <c r="F25" t="s">
        <v>99</v>
      </c>
      <c r="G25" t="s">
        <v>22</v>
      </c>
      <c r="H25">
        <v>115.5</v>
      </c>
      <c r="I25" t="s">
        <v>16</v>
      </c>
      <c r="J25" t="s">
        <v>16</v>
      </c>
      <c r="K25">
        <v>243.75</v>
      </c>
      <c r="L25" t="s">
        <v>82</v>
      </c>
    </row>
    <row r="26" spans="1:12">
      <c r="A26" t="s">
        <v>100</v>
      </c>
      <c r="B26" t="s">
        <v>101</v>
      </c>
      <c r="C26" t="s">
        <v>36</v>
      </c>
      <c r="D26" t="s">
        <v>97</v>
      </c>
      <c r="E26" t="s">
        <v>98</v>
      </c>
      <c r="F26" t="s">
        <v>99</v>
      </c>
      <c r="G26" t="s">
        <v>22</v>
      </c>
      <c r="H26">
        <v>115.5</v>
      </c>
      <c r="I26" t="s">
        <v>16</v>
      </c>
      <c r="J26" t="s">
        <v>16</v>
      </c>
      <c r="K26">
        <v>243.75</v>
      </c>
      <c r="L26" t="s">
        <v>82</v>
      </c>
    </row>
    <row r="27" spans="1:12">
      <c r="A27" t="s">
        <v>102</v>
      </c>
      <c r="B27" t="s">
        <v>103</v>
      </c>
      <c r="C27" t="s">
        <v>36</v>
      </c>
      <c r="D27" t="s">
        <v>57</v>
      </c>
      <c r="E27" t="s">
        <v>58</v>
      </c>
      <c r="F27" t="s">
        <v>16</v>
      </c>
      <c r="G27" t="s">
        <v>16</v>
      </c>
      <c r="H27" t="s">
        <v>16</v>
      </c>
      <c r="I27" t="s">
        <v>16</v>
      </c>
      <c r="J27">
        <v>207.9</v>
      </c>
      <c r="K27">
        <v>325</v>
      </c>
      <c r="L27" t="s">
        <v>59</v>
      </c>
    </row>
    <row r="28" spans="1:12">
      <c r="A28" t="s">
        <v>104</v>
      </c>
      <c r="B28" t="s">
        <v>105</v>
      </c>
      <c r="C28" t="s">
        <v>36</v>
      </c>
      <c r="D28" t="s">
        <v>62</v>
      </c>
      <c r="E28" t="s">
        <v>63</v>
      </c>
      <c r="F28" t="s">
        <v>16</v>
      </c>
      <c r="G28" t="s">
        <v>16</v>
      </c>
      <c r="H28" t="s">
        <v>16</v>
      </c>
      <c r="I28" t="s">
        <v>16</v>
      </c>
      <c r="J28">
        <v>84.15</v>
      </c>
      <c r="K28">
        <v>325</v>
      </c>
      <c r="L28" t="s">
        <v>59</v>
      </c>
    </row>
    <row r="29" spans="1:12">
      <c r="A29" t="s">
        <v>106</v>
      </c>
      <c r="B29" t="s">
        <v>107</v>
      </c>
      <c r="C29" t="s">
        <v>36</v>
      </c>
      <c r="D29" t="s">
        <v>62</v>
      </c>
      <c r="E29" t="s">
        <v>63</v>
      </c>
      <c r="F29" t="s">
        <v>16</v>
      </c>
      <c r="G29" t="s">
        <v>16</v>
      </c>
      <c r="H29" t="s">
        <v>16</v>
      </c>
      <c r="I29" t="s">
        <v>16</v>
      </c>
      <c r="J29">
        <v>84.15</v>
      </c>
      <c r="K29">
        <v>325</v>
      </c>
      <c r="L29" t="s">
        <v>59</v>
      </c>
    </row>
    <row r="30" spans="1:12">
      <c r="A30" t="s">
        <v>108</v>
      </c>
      <c r="B30" t="s">
        <v>109</v>
      </c>
      <c r="C30" t="s">
        <v>36</v>
      </c>
      <c r="D30" t="s">
        <v>52</v>
      </c>
      <c r="E30" t="s">
        <v>68</v>
      </c>
      <c r="F30" t="s">
        <v>16</v>
      </c>
      <c r="G30" t="s">
        <v>16</v>
      </c>
      <c r="H30" t="s">
        <v>16</v>
      </c>
      <c r="I30" t="s">
        <v>16</v>
      </c>
      <c r="J30">
        <v>118.8</v>
      </c>
      <c r="K30">
        <v>325</v>
      </c>
      <c r="L30" t="s">
        <v>59</v>
      </c>
    </row>
    <row r="31" spans="1:12">
      <c r="A31" t="s">
        <v>110</v>
      </c>
      <c r="B31" t="s">
        <v>111</v>
      </c>
      <c r="C31" t="s">
        <v>36</v>
      </c>
      <c r="D31" t="s">
        <v>37</v>
      </c>
      <c r="E31" t="s">
        <v>38</v>
      </c>
      <c r="F31" t="s">
        <v>16</v>
      </c>
      <c r="G31" t="s">
        <v>16</v>
      </c>
      <c r="H31" t="s">
        <v>16</v>
      </c>
      <c r="I31" t="s">
        <v>16</v>
      </c>
      <c r="J31">
        <v>277.2</v>
      </c>
      <c r="K31">
        <v>325</v>
      </c>
      <c r="L31" t="s">
        <v>39</v>
      </c>
    </row>
    <row r="32" spans="1:12">
      <c r="A32" t="s">
        <v>112</v>
      </c>
      <c r="B32" t="s">
        <v>113</v>
      </c>
      <c r="C32" t="s">
        <v>36</v>
      </c>
      <c r="D32" t="s">
        <v>42</v>
      </c>
      <c r="E32" t="s">
        <v>43</v>
      </c>
      <c r="F32" t="s">
        <v>16</v>
      </c>
      <c r="G32" t="s">
        <v>16</v>
      </c>
      <c r="H32" t="s">
        <v>16</v>
      </c>
      <c r="I32" t="s">
        <v>16</v>
      </c>
      <c r="J32">
        <v>112.2</v>
      </c>
      <c r="K32">
        <v>325</v>
      </c>
      <c r="L32" t="s">
        <v>39</v>
      </c>
    </row>
    <row r="33" spans="1:12">
      <c r="A33" t="s">
        <v>114</v>
      </c>
      <c r="B33" t="s">
        <v>115</v>
      </c>
      <c r="C33" t="s">
        <v>36</v>
      </c>
      <c r="D33" t="s">
        <v>42</v>
      </c>
      <c r="E33" t="s">
        <v>43</v>
      </c>
      <c r="F33" t="s">
        <v>16</v>
      </c>
      <c r="G33" t="s">
        <v>16</v>
      </c>
      <c r="H33" t="s">
        <v>16</v>
      </c>
      <c r="I33" t="s">
        <v>16</v>
      </c>
      <c r="J33">
        <v>112.2</v>
      </c>
      <c r="K33">
        <v>325</v>
      </c>
      <c r="L33" t="s">
        <v>39</v>
      </c>
    </row>
    <row r="34" spans="1:12">
      <c r="A34" t="s">
        <v>116</v>
      </c>
      <c r="B34" t="s">
        <v>117</v>
      </c>
      <c r="C34" t="s">
        <v>36</v>
      </c>
      <c r="D34" t="s">
        <v>48</v>
      </c>
      <c r="E34" t="s">
        <v>49</v>
      </c>
      <c r="F34" t="s">
        <v>16</v>
      </c>
      <c r="G34" t="s">
        <v>16</v>
      </c>
      <c r="H34" t="s">
        <v>16</v>
      </c>
      <c r="I34" t="s">
        <v>16</v>
      </c>
      <c r="J34">
        <v>158.4</v>
      </c>
      <c r="K34">
        <v>325</v>
      </c>
      <c r="L34" t="s">
        <v>39</v>
      </c>
    </row>
    <row r="35" spans="1:12">
      <c r="A35" t="s">
        <v>118</v>
      </c>
      <c r="B35" t="s">
        <v>119</v>
      </c>
      <c r="C35" t="s">
        <v>36</v>
      </c>
      <c r="D35" t="s">
        <v>52</v>
      </c>
      <c r="E35" t="s">
        <v>53</v>
      </c>
      <c r="F35" t="s">
        <v>16</v>
      </c>
      <c r="G35" t="s">
        <v>16</v>
      </c>
      <c r="H35">
        <v>330</v>
      </c>
      <c r="I35">
        <v>165</v>
      </c>
      <c r="J35" t="s">
        <v>16</v>
      </c>
      <c r="K35">
        <v>325</v>
      </c>
      <c r="L35" t="s">
        <v>54</v>
      </c>
    </row>
    <row r="36" spans="1:12">
      <c r="A36" t="s">
        <v>120</v>
      </c>
      <c r="B36" t="s">
        <v>121</v>
      </c>
      <c r="C36" t="s">
        <v>36</v>
      </c>
      <c r="D36" t="s">
        <v>97</v>
      </c>
      <c r="E36" t="s">
        <v>98</v>
      </c>
      <c r="F36" t="s">
        <v>99</v>
      </c>
      <c r="G36" t="s">
        <v>22</v>
      </c>
      <c r="H36">
        <v>115.5</v>
      </c>
      <c r="I36" t="s">
        <v>16</v>
      </c>
      <c r="J36" t="s">
        <v>16</v>
      </c>
      <c r="K36">
        <v>243.75</v>
      </c>
      <c r="L36" t="s">
        <v>82</v>
      </c>
    </row>
    <row r="37" spans="1:12">
      <c r="A37" t="s">
        <v>122</v>
      </c>
      <c r="B37" t="s">
        <v>123</v>
      </c>
      <c r="C37" t="s">
        <v>36</v>
      </c>
      <c r="D37" t="s">
        <v>80</v>
      </c>
      <c r="E37" t="s">
        <v>81</v>
      </c>
      <c r="F37">
        <v>165</v>
      </c>
      <c r="G37" t="s">
        <v>22</v>
      </c>
      <c r="H37">
        <v>148.5</v>
      </c>
      <c r="I37" t="s">
        <v>16</v>
      </c>
      <c r="J37" t="s">
        <v>16</v>
      </c>
      <c r="K37">
        <v>325</v>
      </c>
      <c r="L37" t="s">
        <v>82</v>
      </c>
    </row>
    <row r="38" spans="1:12">
      <c r="A38" t="s">
        <v>124</v>
      </c>
      <c r="B38" t="s">
        <v>125</v>
      </c>
      <c r="C38" t="s">
        <v>36</v>
      </c>
      <c r="D38" t="s">
        <v>37</v>
      </c>
      <c r="E38" t="s">
        <v>126</v>
      </c>
      <c r="F38" t="s">
        <v>16</v>
      </c>
      <c r="G38" t="s">
        <v>16</v>
      </c>
      <c r="H38" t="s">
        <v>16</v>
      </c>
      <c r="I38" t="s">
        <v>16</v>
      </c>
      <c r="J38">
        <v>208</v>
      </c>
      <c r="K38">
        <v>325</v>
      </c>
      <c r="L38" t="s">
        <v>59</v>
      </c>
    </row>
    <row r="39" spans="1:12">
      <c r="A39" t="s">
        <v>127</v>
      </c>
      <c r="B39" t="s">
        <v>128</v>
      </c>
      <c r="C39" t="s">
        <v>36</v>
      </c>
      <c r="D39" t="s">
        <v>80</v>
      </c>
      <c r="E39" t="s">
        <v>126</v>
      </c>
      <c r="F39">
        <v>172</v>
      </c>
      <c r="G39" t="s">
        <v>22</v>
      </c>
      <c r="H39">
        <v>149</v>
      </c>
      <c r="I39" t="s">
        <v>16</v>
      </c>
      <c r="J39" t="s">
        <v>16</v>
      </c>
      <c r="K39">
        <v>325</v>
      </c>
      <c r="L39" t="s">
        <v>82</v>
      </c>
    </row>
    <row r="40" spans="1:12">
      <c r="A40" t="s">
        <v>129</v>
      </c>
      <c r="B40" t="s">
        <v>130</v>
      </c>
      <c r="C40" t="s">
        <v>36</v>
      </c>
      <c r="D40" t="s">
        <v>42</v>
      </c>
      <c r="E40" t="s">
        <v>126</v>
      </c>
      <c r="F40" t="s">
        <v>16</v>
      </c>
      <c r="G40" t="s">
        <v>16</v>
      </c>
      <c r="H40" t="s">
        <v>16</v>
      </c>
      <c r="I40" t="s">
        <v>16</v>
      </c>
      <c r="J40">
        <v>85</v>
      </c>
      <c r="K40">
        <v>325</v>
      </c>
      <c r="L40" t="s">
        <v>59</v>
      </c>
    </row>
    <row r="41" spans="1:12">
      <c r="A41" t="s">
        <v>131</v>
      </c>
      <c r="B41" t="s">
        <v>132</v>
      </c>
      <c r="C41" t="s">
        <v>36</v>
      </c>
      <c r="D41" t="s">
        <v>85</v>
      </c>
      <c r="E41" t="s">
        <v>126</v>
      </c>
      <c r="F41">
        <v>111</v>
      </c>
      <c r="G41" t="s">
        <v>22</v>
      </c>
      <c r="H41">
        <v>50</v>
      </c>
      <c r="I41" t="s">
        <v>16</v>
      </c>
      <c r="J41" t="s">
        <v>16</v>
      </c>
      <c r="K41">
        <v>163</v>
      </c>
      <c r="L41" t="s">
        <v>82</v>
      </c>
    </row>
    <row r="42" spans="1:12">
      <c r="A42" t="s">
        <v>133</v>
      </c>
      <c r="B42" t="s">
        <v>134</v>
      </c>
      <c r="C42" t="s">
        <v>36</v>
      </c>
      <c r="D42" t="s">
        <v>42</v>
      </c>
      <c r="E42" t="s">
        <v>126</v>
      </c>
      <c r="F42" t="s">
        <v>16</v>
      </c>
      <c r="G42" t="s">
        <v>16</v>
      </c>
      <c r="H42" t="s">
        <v>16</v>
      </c>
      <c r="I42" t="s">
        <v>16</v>
      </c>
      <c r="J42">
        <v>85</v>
      </c>
      <c r="K42">
        <v>325</v>
      </c>
      <c r="L42" t="s">
        <v>59</v>
      </c>
    </row>
    <row r="43" spans="1:12">
      <c r="A43" t="s">
        <v>135</v>
      </c>
      <c r="B43" t="s">
        <v>136</v>
      </c>
      <c r="C43" t="s">
        <v>36</v>
      </c>
      <c r="D43" t="s">
        <v>80</v>
      </c>
      <c r="E43" t="s">
        <v>126</v>
      </c>
      <c r="F43">
        <v>172</v>
      </c>
      <c r="G43" t="s">
        <v>22</v>
      </c>
      <c r="H43">
        <v>149</v>
      </c>
      <c r="I43" t="s">
        <v>16</v>
      </c>
      <c r="J43" t="s">
        <v>16</v>
      </c>
      <c r="K43">
        <v>325</v>
      </c>
      <c r="L43" t="s">
        <v>82</v>
      </c>
    </row>
    <row r="44" spans="1:12">
      <c r="A44" t="s">
        <v>137</v>
      </c>
      <c r="B44" t="s">
        <v>138</v>
      </c>
      <c r="C44" t="s">
        <v>36</v>
      </c>
      <c r="D44" t="s">
        <v>85</v>
      </c>
      <c r="E44" t="s">
        <v>126</v>
      </c>
      <c r="F44">
        <v>111</v>
      </c>
      <c r="G44" t="s">
        <v>22</v>
      </c>
      <c r="H44">
        <v>50</v>
      </c>
      <c r="I44" t="s">
        <v>16</v>
      </c>
      <c r="J44" t="s">
        <v>16</v>
      </c>
      <c r="K44">
        <v>163</v>
      </c>
      <c r="L44" t="s">
        <v>82</v>
      </c>
    </row>
    <row r="45" spans="1:12">
      <c r="A45" t="s">
        <v>139</v>
      </c>
      <c r="B45" t="s">
        <v>140</v>
      </c>
      <c r="C45" t="s">
        <v>36</v>
      </c>
      <c r="D45" t="s">
        <v>48</v>
      </c>
      <c r="E45" t="s">
        <v>126</v>
      </c>
      <c r="F45" t="s">
        <v>16</v>
      </c>
      <c r="G45" t="s">
        <v>16</v>
      </c>
      <c r="H45" t="s">
        <v>16</v>
      </c>
      <c r="I45" t="s">
        <v>16</v>
      </c>
      <c r="J45">
        <v>119</v>
      </c>
      <c r="K45">
        <v>325</v>
      </c>
      <c r="L45" t="s">
        <v>59</v>
      </c>
    </row>
    <row r="46" spans="1:12">
      <c r="A46" t="s">
        <v>141</v>
      </c>
      <c r="B46" t="s">
        <v>142</v>
      </c>
      <c r="C46" t="s">
        <v>36</v>
      </c>
      <c r="D46" t="s">
        <v>85</v>
      </c>
      <c r="E46" t="s">
        <v>126</v>
      </c>
      <c r="F46">
        <v>111</v>
      </c>
      <c r="G46" t="s">
        <v>22</v>
      </c>
      <c r="H46">
        <v>50</v>
      </c>
      <c r="I46" t="s">
        <v>16</v>
      </c>
      <c r="J46" t="s">
        <v>16</v>
      </c>
      <c r="K46">
        <v>163</v>
      </c>
      <c r="L46" t="s">
        <v>82</v>
      </c>
    </row>
    <row r="47" spans="1:12">
      <c r="A47" t="s">
        <v>143</v>
      </c>
      <c r="B47" t="s">
        <v>144</v>
      </c>
      <c r="C47" t="s">
        <v>36</v>
      </c>
      <c r="D47" t="s">
        <v>97</v>
      </c>
      <c r="E47" t="s">
        <v>126</v>
      </c>
      <c r="F47">
        <v>137</v>
      </c>
      <c r="G47" t="s">
        <v>22</v>
      </c>
      <c r="H47">
        <v>116</v>
      </c>
      <c r="I47" t="s">
        <v>16</v>
      </c>
      <c r="J47" t="s">
        <v>16</v>
      </c>
      <c r="K47">
        <v>244</v>
      </c>
      <c r="L47" t="s">
        <v>82</v>
      </c>
    </row>
    <row r="48" spans="1:12">
      <c r="A48" t="s">
        <v>145</v>
      </c>
      <c r="B48" t="s">
        <v>146</v>
      </c>
      <c r="C48" t="s">
        <v>36</v>
      </c>
      <c r="D48" t="s">
        <v>97</v>
      </c>
      <c r="E48" t="s">
        <v>126</v>
      </c>
      <c r="F48">
        <v>137</v>
      </c>
      <c r="G48" t="s">
        <v>22</v>
      </c>
      <c r="H48">
        <v>116</v>
      </c>
      <c r="I48" t="s">
        <v>16</v>
      </c>
      <c r="J48" t="s">
        <v>16</v>
      </c>
      <c r="K48">
        <v>244</v>
      </c>
      <c r="L48" t="s">
        <v>82</v>
      </c>
    </row>
    <row r="49" spans="1:12">
      <c r="A49" t="s">
        <v>147</v>
      </c>
      <c r="B49" t="s">
        <v>148</v>
      </c>
      <c r="C49" t="s">
        <v>36</v>
      </c>
      <c r="D49" t="s">
        <v>97</v>
      </c>
      <c r="E49" t="s">
        <v>126</v>
      </c>
      <c r="F49">
        <v>137</v>
      </c>
      <c r="G49" t="s">
        <v>22</v>
      </c>
      <c r="H49">
        <v>116</v>
      </c>
      <c r="I49" t="s">
        <v>16</v>
      </c>
      <c r="J49" t="s">
        <v>16</v>
      </c>
      <c r="K49">
        <v>244</v>
      </c>
      <c r="L49" t="s">
        <v>82</v>
      </c>
    </row>
    <row r="50" spans="1:12">
      <c r="A50" t="s">
        <v>149</v>
      </c>
      <c r="B50" t="s">
        <v>150</v>
      </c>
      <c r="C50" t="s">
        <v>36</v>
      </c>
      <c r="D50" t="s">
        <v>80</v>
      </c>
      <c r="E50" t="s">
        <v>126</v>
      </c>
      <c r="F50">
        <v>172</v>
      </c>
      <c r="G50" t="s">
        <v>22</v>
      </c>
      <c r="H50">
        <v>149</v>
      </c>
      <c r="I50" t="s">
        <v>16</v>
      </c>
      <c r="J50" t="s">
        <v>16</v>
      </c>
      <c r="K50">
        <v>325</v>
      </c>
      <c r="L50" t="s">
        <v>82</v>
      </c>
    </row>
    <row r="51" spans="1:12">
      <c r="A51" t="s">
        <v>151</v>
      </c>
      <c r="B51" t="s">
        <v>152</v>
      </c>
      <c r="C51" t="s">
        <v>36</v>
      </c>
      <c r="D51" t="s">
        <v>80</v>
      </c>
      <c r="E51" t="s">
        <v>81</v>
      </c>
      <c r="F51">
        <v>165</v>
      </c>
      <c r="G51" t="s">
        <v>22</v>
      </c>
      <c r="H51">
        <v>148.5</v>
      </c>
      <c r="I51" t="s">
        <v>16</v>
      </c>
      <c r="J51" t="s">
        <v>16</v>
      </c>
      <c r="K51">
        <v>325</v>
      </c>
      <c r="L51" t="s">
        <v>82</v>
      </c>
    </row>
    <row r="52" spans="1:12">
      <c r="A52" t="s">
        <v>153</v>
      </c>
      <c r="B52" t="s">
        <v>154</v>
      </c>
      <c r="C52" t="s">
        <v>36</v>
      </c>
      <c r="D52" t="s">
        <v>85</v>
      </c>
      <c r="E52" t="s">
        <v>86</v>
      </c>
      <c r="F52">
        <v>99</v>
      </c>
      <c r="G52" t="s">
        <v>22</v>
      </c>
      <c r="H52">
        <v>49.5</v>
      </c>
      <c r="I52" t="s">
        <v>16</v>
      </c>
      <c r="J52" t="s">
        <v>16</v>
      </c>
      <c r="K52">
        <v>162.5</v>
      </c>
      <c r="L52" t="s">
        <v>82</v>
      </c>
    </row>
    <row r="53" spans="1:12">
      <c r="A53" t="s">
        <v>155</v>
      </c>
      <c r="B53" t="s">
        <v>156</v>
      </c>
      <c r="C53" t="s">
        <v>36</v>
      </c>
      <c r="D53" t="s">
        <v>80</v>
      </c>
      <c r="E53" t="s">
        <v>81</v>
      </c>
      <c r="F53">
        <v>165</v>
      </c>
      <c r="G53" t="s">
        <v>22</v>
      </c>
      <c r="H53">
        <v>148.5</v>
      </c>
      <c r="I53" t="s">
        <v>16</v>
      </c>
      <c r="J53" t="s">
        <v>16</v>
      </c>
      <c r="K53">
        <v>325</v>
      </c>
      <c r="L53" t="s">
        <v>82</v>
      </c>
    </row>
    <row r="54" spans="1:12">
      <c r="A54" t="s">
        <v>157</v>
      </c>
      <c r="B54" t="s">
        <v>158</v>
      </c>
      <c r="C54" t="s">
        <v>36</v>
      </c>
      <c r="D54" t="s">
        <v>85</v>
      </c>
      <c r="E54" t="s">
        <v>86</v>
      </c>
      <c r="F54">
        <v>99</v>
      </c>
      <c r="G54" t="s">
        <v>22</v>
      </c>
      <c r="H54">
        <v>49.5</v>
      </c>
      <c r="I54" t="s">
        <v>16</v>
      </c>
      <c r="J54" t="s">
        <v>16</v>
      </c>
      <c r="K54">
        <v>162.5</v>
      </c>
      <c r="L54" t="s">
        <v>82</v>
      </c>
    </row>
    <row r="55" spans="1:12">
      <c r="A55" t="s">
        <v>159</v>
      </c>
      <c r="B55" t="s">
        <v>160</v>
      </c>
      <c r="C55" t="s">
        <v>36</v>
      </c>
      <c r="D55" t="s">
        <v>85</v>
      </c>
      <c r="E55" t="s">
        <v>86</v>
      </c>
      <c r="F55">
        <v>99</v>
      </c>
      <c r="G55" t="s">
        <v>22</v>
      </c>
      <c r="H55">
        <v>49.5</v>
      </c>
      <c r="I55" t="s">
        <v>16</v>
      </c>
      <c r="J55" t="s">
        <v>16</v>
      </c>
      <c r="K55">
        <v>162.5</v>
      </c>
      <c r="L55" t="s">
        <v>82</v>
      </c>
    </row>
    <row r="56" spans="1:12">
      <c r="A56" t="s">
        <v>161</v>
      </c>
      <c r="B56" t="s">
        <v>162</v>
      </c>
      <c r="C56" t="s">
        <v>36</v>
      </c>
      <c r="D56" t="s">
        <v>71</v>
      </c>
      <c r="E56" t="s">
        <v>72</v>
      </c>
      <c r="F56" t="s">
        <v>16</v>
      </c>
      <c r="G56" t="s">
        <v>16</v>
      </c>
      <c r="H56">
        <v>247.5</v>
      </c>
      <c r="I56">
        <v>165</v>
      </c>
      <c r="J56" t="s">
        <v>16</v>
      </c>
      <c r="K56">
        <v>325</v>
      </c>
      <c r="L56" t="s">
        <v>73</v>
      </c>
    </row>
    <row r="57" spans="1:12">
      <c r="A57" t="s">
        <v>163</v>
      </c>
      <c r="B57" t="s">
        <v>164</v>
      </c>
      <c r="C57" t="s">
        <v>36</v>
      </c>
      <c r="D57" t="s">
        <v>97</v>
      </c>
      <c r="E57" t="s">
        <v>98</v>
      </c>
      <c r="F57" t="s">
        <v>99</v>
      </c>
      <c r="G57" t="s">
        <v>22</v>
      </c>
      <c r="H57">
        <v>115.5</v>
      </c>
      <c r="I57" t="s">
        <v>16</v>
      </c>
      <c r="J57" t="s">
        <v>16</v>
      </c>
      <c r="K57">
        <v>243.75</v>
      </c>
      <c r="L57" t="s">
        <v>82</v>
      </c>
    </row>
    <row r="58" spans="1:12">
      <c r="A58" t="s">
        <v>165</v>
      </c>
      <c r="B58" t="s">
        <v>166</v>
      </c>
      <c r="C58" t="s">
        <v>36</v>
      </c>
      <c r="D58" t="s">
        <v>97</v>
      </c>
      <c r="E58" t="s">
        <v>98</v>
      </c>
      <c r="F58" t="s">
        <v>99</v>
      </c>
      <c r="G58" t="s">
        <v>22</v>
      </c>
      <c r="H58">
        <v>115.5</v>
      </c>
      <c r="I58" t="s">
        <v>16</v>
      </c>
      <c r="J58" t="s">
        <v>16</v>
      </c>
      <c r="K58">
        <v>243.75</v>
      </c>
      <c r="L58" t="s">
        <v>82</v>
      </c>
    </row>
    <row r="59" spans="1:12">
      <c r="A59" t="s">
        <v>167</v>
      </c>
      <c r="B59" t="s">
        <v>168</v>
      </c>
      <c r="C59" t="s">
        <v>36</v>
      </c>
      <c r="D59" t="s">
        <v>57</v>
      </c>
      <c r="E59" t="s">
        <v>58</v>
      </c>
      <c r="F59" t="s">
        <v>16</v>
      </c>
      <c r="G59" t="s">
        <v>16</v>
      </c>
      <c r="H59" t="s">
        <v>16</v>
      </c>
      <c r="I59" t="s">
        <v>16</v>
      </c>
      <c r="J59">
        <v>207.9</v>
      </c>
      <c r="K59">
        <v>325</v>
      </c>
      <c r="L59" t="s">
        <v>59</v>
      </c>
    </row>
    <row r="60" spans="1:12">
      <c r="A60" t="s">
        <v>169</v>
      </c>
      <c r="B60" t="s">
        <v>170</v>
      </c>
      <c r="C60" t="s">
        <v>36</v>
      </c>
      <c r="D60" t="s">
        <v>62</v>
      </c>
      <c r="E60" t="s">
        <v>63</v>
      </c>
      <c r="F60" t="s">
        <v>16</v>
      </c>
      <c r="G60" t="s">
        <v>16</v>
      </c>
      <c r="H60" t="s">
        <v>16</v>
      </c>
      <c r="I60" t="s">
        <v>16</v>
      </c>
      <c r="J60">
        <v>84.15</v>
      </c>
      <c r="K60">
        <v>325</v>
      </c>
      <c r="L60" t="s">
        <v>59</v>
      </c>
    </row>
    <row r="61" spans="1:12">
      <c r="A61" t="s">
        <v>171</v>
      </c>
      <c r="B61" t="s">
        <v>172</v>
      </c>
      <c r="C61" t="s">
        <v>36</v>
      </c>
      <c r="D61" t="s">
        <v>62</v>
      </c>
      <c r="E61" t="s">
        <v>63</v>
      </c>
      <c r="F61" t="s">
        <v>16</v>
      </c>
      <c r="G61" t="s">
        <v>16</v>
      </c>
      <c r="H61" t="s">
        <v>16</v>
      </c>
      <c r="I61" t="s">
        <v>16</v>
      </c>
      <c r="J61">
        <v>84.15</v>
      </c>
      <c r="K61">
        <v>325</v>
      </c>
      <c r="L61" t="s">
        <v>59</v>
      </c>
    </row>
    <row r="62" spans="1:12">
      <c r="A62" t="s">
        <v>173</v>
      </c>
      <c r="B62" t="s">
        <v>174</v>
      </c>
      <c r="C62" t="s">
        <v>36</v>
      </c>
      <c r="D62" t="s">
        <v>52</v>
      </c>
      <c r="E62" t="s">
        <v>68</v>
      </c>
      <c r="F62" t="s">
        <v>16</v>
      </c>
      <c r="G62" t="s">
        <v>16</v>
      </c>
      <c r="H62" t="s">
        <v>16</v>
      </c>
      <c r="I62" t="s">
        <v>16</v>
      </c>
      <c r="J62">
        <v>118.8</v>
      </c>
      <c r="K62">
        <v>325</v>
      </c>
      <c r="L62" t="s">
        <v>59</v>
      </c>
    </row>
    <row r="63" spans="1:12">
      <c r="A63" t="s">
        <v>175</v>
      </c>
      <c r="B63" t="s">
        <v>176</v>
      </c>
      <c r="C63" t="s">
        <v>36</v>
      </c>
      <c r="D63" t="s">
        <v>37</v>
      </c>
      <c r="E63" t="s">
        <v>38</v>
      </c>
      <c r="F63" t="s">
        <v>16</v>
      </c>
      <c r="G63" t="s">
        <v>16</v>
      </c>
      <c r="H63" t="s">
        <v>16</v>
      </c>
      <c r="I63" t="s">
        <v>16</v>
      </c>
      <c r="J63">
        <v>277.2</v>
      </c>
      <c r="K63">
        <v>325</v>
      </c>
      <c r="L63" t="s">
        <v>39</v>
      </c>
    </row>
    <row r="64" spans="1:12">
      <c r="A64" t="s">
        <v>177</v>
      </c>
      <c r="B64" t="s">
        <v>178</v>
      </c>
      <c r="C64" t="s">
        <v>36</v>
      </c>
      <c r="D64" t="s">
        <v>42</v>
      </c>
      <c r="E64" t="s">
        <v>43</v>
      </c>
      <c r="F64" t="s">
        <v>16</v>
      </c>
      <c r="G64" t="s">
        <v>16</v>
      </c>
      <c r="H64" t="s">
        <v>16</v>
      </c>
      <c r="I64" t="s">
        <v>16</v>
      </c>
      <c r="J64">
        <v>112.2</v>
      </c>
      <c r="K64">
        <v>325</v>
      </c>
      <c r="L64" t="s">
        <v>39</v>
      </c>
    </row>
    <row r="65" spans="1:12">
      <c r="A65" t="s">
        <v>179</v>
      </c>
      <c r="B65" t="s">
        <v>180</v>
      </c>
      <c r="C65" t="s">
        <v>36</v>
      </c>
      <c r="D65" t="s">
        <v>42</v>
      </c>
      <c r="E65" t="s">
        <v>43</v>
      </c>
      <c r="F65" t="s">
        <v>16</v>
      </c>
      <c r="G65" t="s">
        <v>16</v>
      </c>
      <c r="H65" t="s">
        <v>16</v>
      </c>
      <c r="I65" t="s">
        <v>16</v>
      </c>
      <c r="J65">
        <v>112.2</v>
      </c>
      <c r="K65">
        <v>325</v>
      </c>
      <c r="L65" t="s">
        <v>39</v>
      </c>
    </row>
    <row r="66" spans="1:12">
      <c r="A66" t="s">
        <v>181</v>
      </c>
      <c r="B66" t="s">
        <v>182</v>
      </c>
      <c r="C66" t="s">
        <v>36</v>
      </c>
      <c r="D66" t="s">
        <v>48</v>
      </c>
      <c r="E66" t="s">
        <v>49</v>
      </c>
      <c r="F66" t="s">
        <v>16</v>
      </c>
      <c r="G66" t="s">
        <v>16</v>
      </c>
      <c r="H66" t="s">
        <v>16</v>
      </c>
      <c r="I66" t="s">
        <v>16</v>
      </c>
      <c r="J66">
        <v>158.4</v>
      </c>
      <c r="K66">
        <v>325</v>
      </c>
      <c r="L66" t="s">
        <v>39</v>
      </c>
    </row>
    <row r="67" spans="1:12">
      <c r="A67" t="s">
        <v>183</v>
      </c>
      <c r="B67" t="s">
        <v>184</v>
      </c>
      <c r="C67" t="s">
        <v>36</v>
      </c>
      <c r="D67" t="s">
        <v>52</v>
      </c>
      <c r="E67" t="s">
        <v>53</v>
      </c>
      <c r="F67" t="s">
        <v>16</v>
      </c>
      <c r="G67" t="s">
        <v>16</v>
      </c>
      <c r="H67">
        <v>330</v>
      </c>
      <c r="I67">
        <v>165</v>
      </c>
      <c r="J67" t="s">
        <v>16</v>
      </c>
      <c r="K67">
        <v>325</v>
      </c>
      <c r="L67" t="s">
        <v>54</v>
      </c>
    </row>
    <row r="68" spans="1:12">
      <c r="A68" t="s">
        <v>185</v>
      </c>
      <c r="B68" t="s">
        <v>186</v>
      </c>
      <c r="C68" t="s">
        <v>36</v>
      </c>
      <c r="D68" t="s">
        <v>97</v>
      </c>
      <c r="E68" t="s">
        <v>98</v>
      </c>
      <c r="F68" t="s">
        <v>99</v>
      </c>
      <c r="G68" t="s">
        <v>22</v>
      </c>
      <c r="H68">
        <v>115.5</v>
      </c>
      <c r="I68" t="s">
        <v>16</v>
      </c>
      <c r="J68" t="s">
        <v>16</v>
      </c>
      <c r="K68">
        <v>243.75</v>
      </c>
      <c r="L68" t="s">
        <v>82</v>
      </c>
    </row>
    <row r="69" spans="1:12">
      <c r="A69" t="s">
        <v>187</v>
      </c>
      <c r="B69" t="s">
        <v>188</v>
      </c>
      <c r="C69" t="s">
        <v>36</v>
      </c>
      <c r="D69" t="s">
        <v>80</v>
      </c>
      <c r="E69" t="s">
        <v>81</v>
      </c>
      <c r="F69">
        <v>165</v>
      </c>
      <c r="G69" t="s">
        <v>22</v>
      </c>
      <c r="H69">
        <v>148.5</v>
      </c>
      <c r="I69" t="s">
        <v>16</v>
      </c>
      <c r="J69" t="s">
        <v>16</v>
      </c>
      <c r="K69">
        <v>325</v>
      </c>
      <c r="L69" t="s">
        <v>82</v>
      </c>
    </row>
    <row r="70" spans="1:12">
      <c r="A70" t="s">
        <v>189</v>
      </c>
      <c r="B70" t="s">
        <v>190</v>
      </c>
      <c r="C70" t="s">
        <v>36</v>
      </c>
      <c r="D70" t="s">
        <v>37</v>
      </c>
      <c r="E70" t="s">
        <v>38</v>
      </c>
      <c r="F70" t="s">
        <v>16</v>
      </c>
      <c r="G70" t="s">
        <v>16</v>
      </c>
      <c r="H70" t="s">
        <v>16</v>
      </c>
      <c r="I70" t="s">
        <v>16</v>
      </c>
      <c r="J70">
        <v>277.2</v>
      </c>
      <c r="K70">
        <v>325</v>
      </c>
      <c r="L70" t="s">
        <v>39</v>
      </c>
    </row>
    <row r="71" spans="1:12">
      <c r="A71" t="s">
        <v>191</v>
      </c>
      <c r="B71" t="s">
        <v>192</v>
      </c>
      <c r="C71" t="s">
        <v>36</v>
      </c>
      <c r="D71" t="s">
        <v>80</v>
      </c>
      <c r="E71" t="s">
        <v>81</v>
      </c>
      <c r="F71">
        <v>165</v>
      </c>
      <c r="G71" t="s">
        <v>22</v>
      </c>
      <c r="H71">
        <v>148.5</v>
      </c>
      <c r="I71" t="s">
        <v>16</v>
      </c>
      <c r="J71" t="s">
        <v>16</v>
      </c>
      <c r="K71">
        <v>325</v>
      </c>
      <c r="L71" t="s">
        <v>82</v>
      </c>
    </row>
    <row r="72" spans="1:12">
      <c r="A72" t="s">
        <v>193</v>
      </c>
      <c r="B72" t="s">
        <v>194</v>
      </c>
      <c r="C72" t="s">
        <v>36</v>
      </c>
      <c r="D72" t="s">
        <v>42</v>
      </c>
      <c r="E72" t="s">
        <v>43</v>
      </c>
      <c r="F72" t="s">
        <v>16</v>
      </c>
      <c r="G72" t="s">
        <v>16</v>
      </c>
      <c r="H72" t="s">
        <v>16</v>
      </c>
      <c r="I72" t="s">
        <v>16</v>
      </c>
      <c r="J72">
        <v>112.2</v>
      </c>
      <c r="K72">
        <v>325</v>
      </c>
      <c r="L72" t="s">
        <v>39</v>
      </c>
    </row>
    <row r="73" spans="1:12">
      <c r="A73" t="s">
        <v>195</v>
      </c>
      <c r="B73" t="s">
        <v>196</v>
      </c>
      <c r="C73" t="s">
        <v>36</v>
      </c>
      <c r="D73" t="s">
        <v>85</v>
      </c>
      <c r="E73" t="s">
        <v>86</v>
      </c>
      <c r="F73">
        <v>99</v>
      </c>
      <c r="G73" t="s">
        <v>22</v>
      </c>
      <c r="H73">
        <v>49.5</v>
      </c>
      <c r="I73" t="s">
        <v>16</v>
      </c>
      <c r="J73" t="s">
        <v>16</v>
      </c>
      <c r="K73">
        <v>162.5</v>
      </c>
      <c r="L73" t="s">
        <v>82</v>
      </c>
    </row>
    <row r="74" spans="1:12">
      <c r="A74" t="s">
        <v>197</v>
      </c>
      <c r="B74" t="s">
        <v>198</v>
      </c>
      <c r="C74" t="s">
        <v>36</v>
      </c>
      <c r="D74" t="s">
        <v>42</v>
      </c>
      <c r="E74" t="s">
        <v>43</v>
      </c>
      <c r="F74" t="s">
        <v>16</v>
      </c>
      <c r="G74" t="s">
        <v>16</v>
      </c>
      <c r="H74" t="s">
        <v>16</v>
      </c>
      <c r="I74" t="s">
        <v>16</v>
      </c>
      <c r="J74">
        <v>112.2</v>
      </c>
      <c r="K74">
        <v>325</v>
      </c>
      <c r="L74" t="s">
        <v>39</v>
      </c>
    </row>
    <row r="75" spans="1:12">
      <c r="A75" t="s">
        <v>199</v>
      </c>
      <c r="B75" t="s">
        <v>200</v>
      </c>
      <c r="C75" t="s">
        <v>36</v>
      </c>
      <c r="D75" t="s">
        <v>80</v>
      </c>
      <c r="E75" t="s">
        <v>81</v>
      </c>
      <c r="F75">
        <v>165</v>
      </c>
      <c r="G75" t="s">
        <v>22</v>
      </c>
      <c r="H75">
        <v>148.5</v>
      </c>
      <c r="I75" t="s">
        <v>16</v>
      </c>
      <c r="J75" t="s">
        <v>16</v>
      </c>
      <c r="K75">
        <v>325</v>
      </c>
      <c r="L75" t="s">
        <v>82</v>
      </c>
    </row>
    <row r="76" spans="1:12">
      <c r="A76" t="s">
        <v>201</v>
      </c>
      <c r="B76" t="s">
        <v>202</v>
      </c>
      <c r="C76" t="s">
        <v>36</v>
      </c>
      <c r="D76" t="s">
        <v>85</v>
      </c>
      <c r="E76" t="s">
        <v>86</v>
      </c>
      <c r="F76">
        <v>99</v>
      </c>
      <c r="G76" t="s">
        <v>22</v>
      </c>
      <c r="H76">
        <v>49.5</v>
      </c>
      <c r="I76" t="s">
        <v>16</v>
      </c>
      <c r="J76" t="s">
        <v>16</v>
      </c>
      <c r="K76">
        <v>162.5</v>
      </c>
      <c r="L76" t="s">
        <v>82</v>
      </c>
    </row>
    <row r="77" spans="1:12">
      <c r="A77" t="s">
        <v>203</v>
      </c>
      <c r="B77" t="s">
        <v>204</v>
      </c>
      <c r="C77" t="s">
        <v>36</v>
      </c>
      <c r="D77" t="s">
        <v>48</v>
      </c>
      <c r="E77" t="s">
        <v>49</v>
      </c>
      <c r="F77" t="s">
        <v>16</v>
      </c>
      <c r="G77" t="s">
        <v>16</v>
      </c>
      <c r="H77" t="s">
        <v>16</v>
      </c>
      <c r="I77" t="s">
        <v>16</v>
      </c>
      <c r="J77">
        <v>158.4</v>
      </c>
      <c r="K77">
        <v>325</v>
      </c>
      <c r="L77" t="s">
        <v>39</v>
      </c>
    </row>
    <row r="78" spans="1:12">
      <c r="A78" t="s">
        <v>205</v>
      </c>
      <c r="B78" t="s">
        <v>206</v>
      </c>
      <c r="C78" t="s">
        <v>36</v>
      </c>
      <c r="D78" t="s">
        <v>85</v>
      </c>
      <c r="E78" t="s">
        <v>86</v>
      </c>
      <c r="F78">
        <v>99</v>
      </c>
      <c r="G78" t="s">
        <v>22</v>
      </c>
      <c r="H78">
        <v>49.5</v>
      </c>
      <c r="I78" t="s">
        <v>16</v>
      </c>
      <c r="J78" t="s">
        <v>16</v>
      </c>
      <c r="K78">
        <v>162.5</v>
      </c>
      <c r="L78" t="s">
        <v>82</v>
      </c>
    </row>
    <row r="79" spans="1:12">
      <c r="A79" t="s">
        <v>207</v>
      </c>
      <c r="B79" t="s">
        <v>208</v>
      </c>
      <c r="C79" t="s">
        <v>36</v>
      </c>
      <c r="D79" t="s">
        <v>97</v>
      </c>
      <c r="E79" t="s">
        <v>98</v>
      </c>
      <c r="F79" t="s">
        <v>99</v>
      </c>
      <c r="G79" t="s">
        <v>22</v>
      </c>
      <c r="H79">
        <v>115.5</v>
      </c>
      <c r="I79" t="s">
        <v>16</v>
      </c>
      <c r="J79" t="s">
        <v>16</v>
      </c>
      <c r="K79">
        <v>243.75</v>
      </c>
      <c r="L79" t="s">
        <v>82</v>
      </c>
    </row>
    <row r="80" spans="1:12">
      <c r="A80" t="s">
        <v>209</v>
      </c>
      <c r="B80" t="s">
        <v>210</v>
      </c>
      <c r="C80" t="s">
        <v>36</v>
      </c>
      <c r="D80" t="s">
        <v>97</v>
      </c>
      <c r="E80" t="s">
        <v>98</v>
      </c>
      <c r="F80" t="s">
        <v>99</v>
      </c>
      <c r="G80" t="s">
        <v>22</v>
      </c>
      <c r="H80">
        <v>115.5</v>
      </c>
      <c r="I80" t="s">
        <v>16</v>
      </c>
      <c r="J80" t="s">
        <v>16</v>
      </c>
      <c r="K80">
        <v>243.75</v>
      </c>
      <c r="L80" t="s">
        <v>82</v>
      </c>
    </row>
    <row r="81" spans="1:12">
      <c r="A81" t="s">
        <v>211</v>
      </c>
      <c r="B81" t="s">
        <v>212</v>
      </c>
      <c r="C81" t="s">
        <v>36</v>
      </c>
      <c r="D81" t="s">
        <v>52</v>
      </c>
      <c r="E81" t="s">
        <v>53</v>
      </c>
      <c r="F81" t="s">
        <v>16</v>
      </c>
      <c r="G81" t="s">
        <v>16</v>
      </c>
      <c r="H81">
        <v>330</v>
      </c>
      <c r="I81">
        <v>165</v>
      </c>
      <c r="J81" t="s">
        <v>16</v>
      </c>
      <c r="K81">
        <v>325</v>
      </c>
      <c r="L81" t="s">
        <v>54</v>
      </c>
    </row>
    <row r="82" spans="1:12">
      <c r="A82" t="s">
        <v>213</v>
      </c>
      <c r="B82" t="s">
        <v>214</v>
      </c>
      <c r="C82" t="s">
        <v>36</v>
      </c>
      <c r="D82" t="s">
        <v>97</v>
      </c>
      <c r="E82" t="s">
        <v>98</v>
      </c>
      <c r="F82" t="s">
        <v>99</v>
      </c>
      <c r="G82" t="s">
        <v>22</v>
      </c>
      <c r="H82">
        <v>115.5</v>
      </c>
      <c r="I82" t="s">
        <v>16</v>
      </c>
      <c r="J82" t="s">
        <v>16</v>
      </c>
      <c r="K82">
        <v>243.75</v>
      </c>
      <c r="L82" t="s">
        <v>82</v>
      </c>
    </row>
    <row r="83" spans="1:12">
      <c r="A83" t="s">
        <v>215</v>
      </c>
      <c r="B83" t="s">
        <v>216</v>
      </c>
      <c r="C83" t="s">
        <v>36</v>
      </c>
      <c r="D83" t="s">
        <v>80</v>
      </c>
      <c r="E83" t="s">
        <v>81</v>
      </c>
      <c r="F83">
        <v>165</v>
      </c>
      <c r="G83" t="s">
        <v>22</v>
      </c>
      <c r="H83">
        <v>148.5</v>
      </c>
      <c r="I83" t="s">
        <v>16</v>
      </c>
      <c r="J83" t="s">
        <v>16</v>
      </c>
      <c r="K83">
        <v>325</v>
      </c>
      <c r="L83" t="s">
        <v>82</v>
      </c>
    </row>
    <row r="84" spans="1:12">
      <c r="A84" t="s">
        <v>217</v>
      </c>
      <c r="B84" t="s">
        <v>218</v>
      </c>
      <c r="C84" t="s">
        <v>36</v>
      </c>
      <c r="D84" t="s">
        <v>57</v>
      </c>
      <c r="E84" t="s">
        <v>58</v>
      </c>
      <c r="F84" t="s">
        <v>16</v>
      </c>
      <c r="G84" t="s">
        <v>16</v>
      </c>
      <c r="H84" t="s">
        <v>16</v>
      </c>
      <c r="I84" t="s">
        <v>16</v>
      </c>
      <c r="J84">
        <v>207.9</v>
      </c>
      <c r="K84">
        <v>325</v>
      </c>
      <c r="L84" t="s">
        <v>59</v>
      </c>
    </row>
    <row r="85" spans="1:12">
      <c r="A85" t="s">
        <v>219</v>
      </c>
      <c r="B85" t="s">
        <v>220</v>
      </c>
      <c r="C85" t="s">
        <v>36</v>
      </c>
      <c r="D85" t="s">
        <v>80</v>
      </c>
      <c r="E85" t="s">
        <v>81</v>
      </c>
      <c r="F85">
        <v>165</v>
      </c>
      <c r="G85" t="s">
        <v>22</v>
      </c>
      <c r="H85">
        <v>148.5</v>
      </c>
      <c r="I85" t="s">
        <v>16</v>
      </c>
      <c r="J85" t="s">
        <v>16</v>
      </c>
      <c r="K85">
        <v>325</v>
      </c>
      <c r="L85" t="s">
        <v>82</v>
      </c>
    </row>
    <row r="86" spans="1:12">
      <c r="A86" t="s">
        <v>221</v>
      </c>
      <c r="B86" t="s">
        <v>222</v>
      </c>
      <c r="C86" t="s">
        <v>36</v>
      </c>
      <c r="D86" t="s">
        <v>62</v>
      </c>
      <c r="E86" t="s">
        <v>63</v>
      </c>
      <c r="F86" t="s">
        <v>16</v>
      </c>
      <c r="G86" t="s">
        <v>16</v>
      </c>
      <c r="H86" t="s">
        <v>16</v>
      </c>
      <c r="I86" t="s">
        <v>16</v>
      </c>
      <c r="J86">
        <v>84.15</v>
      </c>
      <c r="K86">
        <v>325</v>
      </c>
      <c r="L86" t="s">
        <v>59</v>
      </c>
    </row>
    <row r="87" spans="1:12">
      <c r="A87" t="s">
        <v>223</v>
      </c>
      <c r="B87" t="s">
        <v>224</v>
      </c>
      <c r="C87" t="s">
        <v>36</v>
      </c>
      <c r="D87" t="s">
        <v>85</v>
      </c>
      <c r="E87" t="s">
        <v>86</v>
      </c>
      <c r="F87">
        <v>99</v>
      </c>
      <c r="G87" t="s">
        <v>22</v>
      </c>
      <c r="H87">
        <v>49.5</v>
      </c>
      <c r="I87" t="s">
        <v>16</v>
      </c>
      <c r="J87" t="s">
        <v>16</v>
      </c>
      <c r="K87">
        <v>162.5</v>
      </c>
      <c r="L87" t="s">
        <v>82</v>
      </c>
    </row>
    <row r="88" spans="1:12">
      <c r="A88" t="s">
        <v>225</v>
      </c>
      <c r="B88" t="s">
        <v>226</v>
      </c>
      <c r="C88" t="s">
        <v>36</v>
      </c>
      <c r="D88" t="s">
        <v>62</v>
      </c>
      <c r="E88" t="s">
        <v>63</v>
      </c>
      <c r="F88" t="s">
        <v>16</v>
      </c>
      <c r="G88" t="s">
        <v>16</v>
      </c>
      <c r="H88" t="s">
        <v>16</v>
      </c>
      <c r="I88" t="s">
        <v>16</v>
      </c>
      <c r="J88">
        <v>84.15</v>
      </c>
      <c r="K88">
        <v>325</v>
      </c>
      <c r="L88" t="s">
        <v>59</v>
      </c>
    </row>
    <row r="89" spans="1:12">
      <c r="A89" t="s">
        <v>227</v>
      </c>
      <c r="B89" t="s">
        <v>228</v>
      </c>
      <c r="C89" t="s">
        <v>36</v>
      </c>
      <c r="D89" t="s">
        <v>80</v>
      </c>
      <c r="E89" t="s">
        <v>81</v>
      </c>
      <c r="F89">
        <v>165</v>
      </c>
      <c r="G89" t="s">
        <v>22</v>
      </c>
      <c r="H89">
        <v>148.5</v>
      </c>
      <c r="I89" t="s">
        <v>16</v>
      </c>
      <c r="J89" t="s">
        <v>16</v>
      </c>
      <c r="K89">
        <v>325</v>
      </c>
      <c r="L89" t="s">
        <v>82</v>
      </c>
    </row>
    <row r="90" spans="1:12">
      <c r="A90" t="s">
        <v>229</v>
      </c>
      <c r="B90" t="s">
        <v>230</v>
      </c>
      <c r="C90" t="s">
        <v>36</v>
      </c>
      <c r="D90" t="s">
        <v>85</v>
      </c>
      <c r="E90" t="s">
        <v>86</v>
      </c>
      <c r="F90">
        <v>99</v>
      </c>
      <c r="G90" t="s">
        <v>22</v>
      </c>
      <c r="H90">
        <v>49.5</v>
      </c>
      <c r="I90" t="s">
        <v>16</v>
      </c>
      <c r="J90" t="s">
        <v>16</v>
      </c>
      <c r="K90">
        <v>162.5</v>
      </c>
      <c r="L90" t="s">
        <v>82</v>
      </c>
    </row>
    <row r="91" spans="1:12">
      <c r="A91" t="s">
        <v>231</v>
      </c>
      <c r="B91" t="s">
        <v>232</v>
      </c>
      <c r="C91" t="s">
        <v>36</v>
      </c>
      <c r="D91" t="s">
        <v>52</v>
      </c>
      <c r="E91" t="s">
        <v>68</v>
      </c>
      <c r="F91" t="s">
        <v>16</v>
      </c>
      <c r="G91" t="s">
        <v>16</v>
      </c>
      <c r="H91" t="s">
        <v>16</v>
      </c>
      <c r="I91" t="s">
        <v>16</v>
      </c>
      <c r="J91">
        <v>118.8</v>
      </c>
      <c r="K91">
        <v>325</v>
      </c>
      <c r="L91" t="s">
        <v>59</v>
      </c>
    </row>
    <row r="92" spans="1:12">
      <c r="A92" t="s">
        <v>233</v>
      </c>
      <c r="B92" t="s">
        <v>234</v>
      </c>
      <c r="C92" t="s">
        <v>36</v>
      </c>
      <c r="D92" t="s">
        <v>85</v>
      </c>
      <c r="E92" t="s">
        <v>86</v>
      </c>
      <c r="F92">
        <v>99</v>
      </c>
      <c r="G92" t="s">
        <v>22</v>
      </c>
      <c r="H92">
        <v>49.5</v>
      </c>
      <c r="I92" t="s">
        <v>16</v>
      </c>
      <c r="J92" t="s">
        <v>16</v>
      </c>
      <c r="K92">
        <v>162.5</v>
      </c>
      <c r="L92" t="s">
        <v>82</v>
      </c>
    </row>
    <row r="93" spans="1:12">
      <c r="A93" t="s">
        <v>235</v>
      </c>
      <c r="B93" t="s">
        <v>236</v>
      </c>
      <c r="C93" t="s">
        <v>36</v>
      </c>
      <c r="D93" t="s">
        <v>97</v>
      </c>
      <c r="E93" t="s">
        <v>98</v>
      </c>
      <c r="F93" t="s">
        <v>99</v>
      </c>
      <c r="G93" t="s">
        <v>22</v>
      </c>
      <c r="H93">
        <v>115.5</v>
      </c>
      <c r="I93" t="s">
        <v>16</v>
      </c>
      <c r="J93" t="s">
        <v>16</v>
      </c>
      <c r="K93">
        <v>243.75</v>
      </c>
      <c r="L93" t="s">
        <v>82</v>
      </c>
    </row>
    <row r="94" spans="1:12">
      <c r="A94" t="s">
        <v>237</v>
      </c>
      <c r="B94" t="s">
        <v>238</v>
      </c>
      <c r="C94" t="s">
        <v>36</v>
      </c>
      <c r="D94" t="s">
        <v>97</v>
      </c>
      <c r="E94" t="s">
        <v>98</v>
      </c>
      <c r="F94" t="s">
        <v>99</v>
      </c>
      <c r="G94" t="s">
        <v>22</v>
      </c>
      <c r="H94">
        <v>115.5</v>
      </c>
      <c r="I94" t="s">
        <v>16</v>
      </c>
      <c r="J94" t="s">
        <v>16</v>
      </c>
      <c r="K94">
        <v>243.75</v>
      </c>
      <c r="L94" t="s">
        <v>82</v>
      </c>
    </row>
    <row r="95" spans="1:12">
      <c r="A95" t="s">
        <v>239</v>
      </c>
      <c r="B95" t="s">
        <v>240</v>
      </c>
      <c r="C95" t="s">
        <v>36</v>
      </c>
      <c r="D95" t="s">
        <v>71</v>
      </c>
      <c r="E95" t="s">
        <v>72</v>
      </c>
      <c r="F95" t="s">
        <v>16</v>
      </c>
      <c r="G95" t="s">
        <v>16</v>
      </c>
      <c r="H95">
        <v>247.5</v>
      </c>
      <c r="I95">
        <v>165</v>
      </c>
      <c r="J95" t="s">
        <v>16</v>
      </c>
      <c r="K95">
        <v>325</v>
      </c>
      <c r="L95" t="s">
        <v>73</v>
      </c>
    </row>
    <row r="96" spans="1:12">
      <c r="A96" t="s">
        <v>241</v>
      </c>
      <c r="B96" t="s">
        <v>242</v>
      </c>
      <c r="C96" t="s">
        <v>36</v>
      </c>
      <c r="D96" t="s">
        <v>97</v>
      </c>
      <c r="E96" t="s">
        <v>98</v>
      </c>
      <c r="F96" t="s">
        <v>99</v>
      </c>
      <c r="G96" t="s">
        <v>22</v>
      </c>
      <c r="H96">
        <v>115.5</v>
      </c>
      <c r="I96" t="s">
        <v>16</v>
      </c>
      <c r="J96" t="s">
        <v>16</v>
      </c>
      <c r="K96">
        <v>243.75</v>
      </c>
      <c r="L96" t="s">
        <v>82</v>
      </c>
    </row>
    <row r="97" spans="1:12">
      <c r="A97" t="s">
        <v>243</v>
      </c>
      <c r="B97" t="s">
        <v>244</v>
      </c>
      <c r="C97" t="s">
        <v>36</v>
      </c>
      <c r="D97" t="s">
        <v>80</v>
      </c>
      <c r="E97" t="s">
        <v>81</v>
      </c>
      <c r="F97">
        <v>165</v>
      </c>
      <c r="G97" t="s">
        <v>22</v>
      </c>
      <c r="H97">
        <v>148.5</v>
      </c>
      <c r="I97" t="s">
        <v>16</v>
      </c>
      <c r="J97" t="s">
        <v>16</v>
      </c>
      <c r="K97">
        <v>325</v>
      </c>
      <c r="L97" t="s">
        <v>82</v>
      </c>
    </row>
    <row r="98" spans="1:12">
      <c r="A98" t="s">
        <v>245</v>
      </c>
      <c r="B98" t="s">
        <v>246</v>
      </c>
      <c r="C98" t="s">
        <v>13</v>
      </c>
      <c r="D98" t="s">
        <v>247</v>
      </c>
      <c r="E98" t="s">
        <v>15</v>
      </c>
      <c r="F98" t="s">
        <v>16</v>
      </c>
      <c r="G98" t="s">
        <v>16</v>
      </c>
      <c r="H98" t="s">
        <v>16</v>
      </c>
      <c r="I98" t="s">
        <v>16</v>
      </c>
      <c r="J98">
        <v>172.8</v>
      </c>
      <c r="K98">
        <v>675</v>
      </c>
      <c r="L98" t="s">
        <v>248</v>
      </c>
    </row>
    <row r="99" spans="1:12">
      <c r="A99" t="s">
        <v>249</v>
      </c>
      <c r="B99" t="s">
        <v>250</v>
      </c>
      <c r="C99" t="s">
        <v>36</v>
      </c>
      <c r="D99" t="s">
        <v>80</v>
      </c>
      <c r="E99" t="s">
        <v>81</v>
      </c>
      <c r="F99">
        <v>165</v>
      </c>
      <c r="G99" t="s">
        <v>22</v>
      </c>
      <c r="H99">
        <v>148.5</v>
      </c>
      <c r="I99" t="s">
        <v>16</v>
      </c>
      <c r="J99" t="s">
        <v>16</v>
      </c>
      <c r="K99">
        <v>325</v>
      </c>
      <c r="L99" t="s">
        <v>82</v>
      </c>
    </row>
    <row r="100" spans="1:12">
      <c r="A100" t="s">
        <v>251</v>
      </c>
      <c r="B100" t="s">
        <v>252</v>
      </c>
      <c r="C100" t="s">
        <v>36</v>
      </c>
      <c r="D100" t="s">
        <v>85</v>
      </c>
      <c r="E100" t="s">
        <v>86</v>
      </c>
      <c r="F100">
        <v>99</v>
      </c>
      <c r="G100" t="s">
        <v>22</v>
      </c>
      <c r="H100">
        <v>49.5</v>
      </c>
      <c r="I100" t="s">
        <v>16</v>
      </c>
      <c r="J100" t="s">
        <v>16</v>
      </c>
      <c r="K100">
        <v>162.5</v>
      </c>
      <c r="L100" t="s">
        <v>82</v>
      </c>
    </row>
    <row r="101" spans="1:12">
      <c r="A101" t="s">
        <v>253</v>
      </c>
      <c r="B101" t="s">
        <v>254</v>
      </c>
      <c r="C101" t="s">
        <v>36</v>
      </c>
      <c r="D101" t="s">
        <v>80</v>
      </c>
      <c r="E101" t="s">
        <v>81</v>
      </c>
      <c r="F101">
        <v>165</v>
      </c>
      <c r="G101" t="s">
        <v>22</v>
      </c>
      <c r="H101">
        <v>148.5</v>
      </c>
      <c r="I101" t="s">
        <v>16</v>
      </c>
      <c r="J101" t="s">
        <v>16</v>
      </c>
      <c r="K101">
        <v>325</v>
      </c>
      <c r="L101" t="s">
        <v>82</v>
      </c>
    </row>
    <row r="102" spans="1:12">
      <c r="A102" t="s">
        <v>255</v>
      </c>
      <c r="B102" t="s">
        <v>256</v>
      </c>
      <c r="C102" t="s">
        <v>36</v>
      </c>
      <c r="D102" t="s">
        <v>85</v>
      </c>
      <c r="E102" t="s">
        <v>86</v>
      </c>
      <c r="F102">
        <v>99</v>
      </c>
      <c r="G102" t="s">
        <v>22</v>
      </c>
      <c r="H102">
        <v>49.5</v>
      </c>
      <c r="I102" t="s">
        <v>16</v>
      </c>
      <c r="J102" t="s">
        <v>16</v>
      </c>
      <c r="K102">
        <v>162.5</v>
      </c>
      <c r="L102" t="s">
        <v>82</v>
      </c>
    </row>
    <row r="103" spans="1:12">
      <c r="A103" t="s">
        <v>257</v>
      </c>
      <c r="B103" t="s">
        <v>258</v>
      </c>
      <c r="C103" t="s">
        <v>36</v>
      </c>
      <c r="D103" t="s">
        <v>85</v>
      </c>
      <c r="E103" t="s">
        <v>86</v>
      </c>
      <c r="F103">
        <v>99</v>
      </c>
      <c r="G103" t="s">
        <v>22</v>
      </c>
      <c r="H103">
        <v>49.5</v>
      </c>
      <c r="I103" t="s">
        <v>16</v>
      </c>
      <c r="J103" t="s">
        <v>16</v>
      </c>
      <c r="K103">
        <v>162.5</v>
      </c>
      <c r="L103" t="s">
        <v>82</v>
      </c>
    </row>
    <row r="104" spans="1:12">
      <c r="A104" t="s">
        <v>259</v>
      </c>
      <c r="B104" t="s">
        <v>260</v>
      </c>
      <c r="C104" t="s">
        <v>36</v>
      </c>
      <c r="D104" t="s">
        <v>97</v>
      </c>
      <c r="E104" t="s">
        <v>98</v>
      </c>
      <c r="F104" t="s">
        <v>99</v>
      </c>
      <c r="G104" t="s">
        <v>22</v>
      </c>
      <c r="H104">
        <v>115.5</v>
      </c>
      <c r="I104" t="s">
        <v>16</v>
      </c>
      <c r="J104" t="s">
        <v>16</v>
      </c>
      <c r="K104">
        <v>243.75</v>
      </c>
      <c r="L104" t="s">
        <v>82</v>
      </c>
    </row>
    <row r="105" spans="1:12">
      <c r="A105" t="s">
        <v>261</v>
      </c>
      <c r="B105" t="s">
        <v>262</v>
      </c>
      <c r="C105" t="s">
        <v>36</v>
      </c>
      <c r="D105" t="s">
        <v>97</v>
      </c>
      <c r="E105" t="s">
        <v>98</v>
      </c>
      <c r="F105" t="s">
        <v>99</v>
      </c>
      <c r="G105" t="s">
        <v>22</v>
      </c>
      <c r="H105">
        <v>115.5</v>
      </c>
      <c r="I105" t="s">
        <v>16</v>
      </c>
      <c r="J105" t="s">
        <v>16</v>
      </c>
      <c r="K105">
        <v>243.75</v>
      </c>
      <c r="L105" t="s">
        <v>82</v>
      </c>
    </row>
    <row r="106" spans="1:12">
      <c r="A106" t="s">
        <v>263</v>
      </c>
      <c r="B106" t="s">
        <v>264</v>
      </c>
      <c r="C106" t="s">
        <v>36</v>
      </c>
      <c r="D106" t="s">
        <v>97</v>
      </c>
      <c r="E106" t="s">
        <v>98</v>
      </c>
      <c r="F106" t="s">
        <v>99</v>
      </c>
      <c r="G106" t="s">
        <v>22</v>
      </c>
      <c r="H106">
        <v>115.5</v>
      </c>
      <c r="I106" t="s">
        <v>16</v>
      </c>
      <c r="J106" t="s">
        <v>16</v>
      </c>
      <c r="K106">
        <v>243.75</v>
      </c>
      <c r="L106" t="s">
        <v>82</v>
      </c>
    </row>
    <row r="107" spans="1:12">
      <c r="A107" t="s">
        <v>265</v>
      </c>
      <c r="B107" t="s">
        <v>266</v>
      </c>
      <c r="C107" t="s">
        <v>36</v>
      </c>
      <c r="D107" t="s">
        <v>80</v>
      </c>
      <c r="E107" t="s">
        <v>81</v>
      </c>
      <c r="F107">
        <v>165</v>
      </c>
      <c r="G107" t="s">
        <v>22</v>
      </c>
      <c r="H107">
        <v>148.5</v>
      </c>
      <c r="I107" t="s">
        <v>16</v>
      </c>
      <c r="J107" t="s">
        <v>16</v>
      </c>
      <c r="K107">
        <v>325</v>
      </c>
      <c r="L107" t="s">
        <v>82</v>
      </c>
    </row>
    <row r="108" spans="1:12">
      <c r="A108" t="s">
        <v>267</v>
      </c>
      <c r="B108" t="s">
        <v>268</v>
      </c>
      <c r="C108" t="s">
        <v>36</v>
      </c>
      <c r="D108" t="s">
        <v>57</v>
      </c>
      <c r="E108" t="s">
        <v>58</v>
      </c>
      <c r="F108" t="s">
        <v>16</v>
      </c>
      <c r="G108" t="s">
        <v>16</v>
      </c>
      <c r="H108" t="s">
        <v>16</v>
      </c>
      <c r="I108" t="s">
        <v>16</v>
      </c>
      <c r="J108">
        <v>207.9</v>
      </c>
      <c r="K108">
        <v>325</v>
      </c>
      <c r="L108" t="s">
        <v>59</v>
      </c>
    </row>
    <row r="109" spans="1:12">
      <c r="A109" t="s">
        <v>269</v>
      </c>
      <c r="B109" t="s">
        <v>270</v>
      </c>
      <c r="C109" t="s">
        <v>36</v>
      </c>
      <c r="D109" t="s">
        <v>80</v>
      </c>
      <c r="E109" t="s">
        <v>81</v>
      </c>
      <c r="F109">
        <v>165</v>
      </c>
      <c r="G109" t="s">
        <v>22</v>
      </c>
      <c r="H109">
        <v>148.5</v>
      </c>
      <c r="I109" t="s">
        <v>16</v>
      </c>
      <c r="J109" t="s">
        <v>16</v>
      </c>
      <c r="K109">
        <v>325</v>
      </c>
      <c r="L109" t="s">
        <v>82</v>
      </c>
    </row>
    <row r="110" spans="1:12">
      <c r="A110" t="s">
        <v>271</v>
      </c>
      <c r="B110" t="s">
        <v>272</v>
      </c>
      <c r="C110" t="s">
        <v>36</v>
      </c>
      <c r="D110" t="s">
        <v>62</v>
      </c>
      <c r="E110" t="s">
        <v>63</v>
      </c>
      <c r="F110" t="s">
        <v>16</v>
      </c>
      <c r="G110" t="s">
        <v>16</v>
      </c>
      <c r="H110" t="s">
        <v>16</v>
      </c>
      <c r="I110" t="s">
        <v>16</v>
      </c>
      <c r="J110">
        <v>84.15</v>
      </c>
      <c r="K110">
        <v>325</v>
      </c>
      <c r="L110" t="s">
        <v>59</v>
      </c>
    </row>
    <row r="111" spans="1:12">
      <c r="A111" t="s">
        <v>273</v>
      </c>
      <c r="B111" t="s">
        <v>274</v>
      </c>
      <c r="C111" t="s">
        <v>36</v>
      </c>
      <c r="D111" t="s">
        <v>85</v>
      </c>
      <c r="E111" t="s">
        <v>86</v>
      </c>
      <c r="F111">
        <v>99</v>
      </c>
      <c r="G111" t="s">
        <v>22</v>
      </c>
      <c r="H111">
        <v>49.5</v>
      </c>
      <c r="I111" t="s">
        <v>16</v>
      </c>
      <c r="J111" t="s">
        <v>16</v>
      </c>
      <c r="K111">
        <v>162.5</v>
      </c>
      <c r="L111" t="s">
        <v>82</v>
      </c>
    </row>
    <row r="112" spans="1:12">
      <c r="A112" t="s">
        <v>275</v>
      </c>
      <c r="B112" t="s">
        <v>276</v>
      </c>
      <c r="C112" t="s">
        <v>36</v>
      </c>
      <c r="D112" t="s">
        <v>62</v>
      </c>
      <c r="E112" t="s">
        <v>63</v>
      </c>
      <c r="F112" t="s">
        <v>16</v>
      </c>
      <c r="G112" t="s">
        <v>16</v>
      </c>
      <c r="H112" t="s">
        <v>16</v>
      </c>
      <c r="I112" t="s">
        <v>16</v>
      </c>
      <c r="J112">
        <v>84.15</v>
      </c>
      <c r="K112">
        <v>325</v>
      </c>
      <c r="L112" t="s">
        <v>59</v>
      </c>
    </row>
    <row r="113" spans="1:12">
      <c r="A113" t="s">
        <v>277</v>
      </c>
      <c r="B113" t="s">
        <v>278</v>
      </c>
      <c r="C113" t="s">
        <v>36</v>
      </c>
      <c r="D113" t="s">
        <v>80</v>
      </c>
      <c r="E113" t="s">
        <v>81</v>
      </c>
      <c r="F113">
        <v>165</v>
      </c>
      <c r="G113" t="s">
        <v>22</v>
      </c>
      <c r="H113">
        <v>148.5</v>
      </c>
      <c r="I113" t="s">
        <v>16</v>
      </c>
      <c r="J113" t="s">
        <v>16</v>
      </c>
      <c r="K113">
        <v>325</v>
      </c>
      <c r="L113" t="s">
        <v>82</v>
      </c>
    </row>
    <row r="114" spans="1:12">
      <c r="A114" t="s">
        <v>279</v>
      </c>
      <c r="B114" t="s">
        <v>280</v>
      </c>
      <c r="C114" t="s">
        <v>36</v>
      </c>
      <c r="D114" t="s">
        <v>85</v>
      </c>
      <c r="E114" t="s">
        <v>86</v>
      </c>
      <c r="F114">
        <v>99</v>
      </c>
      <c r="G114" t="s">
        <v>22</v>
      </c>
      <c r="H114">
        <v>49.5</v>
      </c>
      <c r="I114" t="s">
        <v>16</v>
      </c>
      <c r="J114" t="s">
        <v>16</v>
      </c>
      <c r="K114">
        <v>162.5</v>
      </c>
      <c r="L114" t="s">
        <v>82</v>
      </c>
    </row>
    <row r="115" spans="1:12">
      <c r="A115" t="s">
        <v>281</v>
      </c>
      <c r="B115" t="s">
        <v>282</v>
      </c>
      <c r="C115" t="s">
        <v>36</v>
      </c>
      <c r="D115" t="s">
        <v>52</v>
      </c>
      <c r="E115" t="s">
        <v>68</v>
      </c>
      <c r="F115" t="s">
        <v>16</v>
      </c>
      <c r="G115" t="s">
        <v>16</v>
      </c>
      <c r="H115" t="s">
        <v>16</v>
      </c>
      <c r="I115" t="s">
        <v>16</v>
      </c>
      <c r="J115">
        <v>118.8</v>
      </c>
      <c r="K115">
        <v>325</v>
      </c>
      <c r="L115" t="s">
        <v>59</v>
      </c>
    </row>
    <row r="116" spans="1:12">
      <c r="A116" t="s">
        <v>283</v>
      </c>
      <c r="B116" t="s">
        <v>284</v>
      </c>
      <c r="C116" t="s">
        <v>36</v>
      </c>
      <c r="D116" t="s">
        <v>85</v>
      </c>
      <c r="E116" t="s">
        <v>86</v>
      </c>
      <c r="F116">
        <v>99</v>
      </c>
      <c r="G116" t="s">
        <v>22</v>
      </c>
      <c r="H116">
        <v>49.5</v>
      </c>
      <c r="I116" t="s">
        <v>16</v>
      </c>
      <c r="J116" t="s">
        <v>16</v>
      </c>
      <c r="K116">
        <v>162.5</v>
      </c>
      <c r="L116" t="s">
        <v>82</v>
      </c>
    </row>
    <row r="117" spans="1:12">
      <c r="A117" t="s">
        <v>285</v>
      </c>
      <c r="B117" t="s">
        <v>286</v>
      </c>
      <c r="C117" t="s">
        <v>36</v>
      </c>
      <c r="D117" t="s">
        <v>97</v>
      </c>
      <c r="E117" t="s">
        <v>98</v>
      </c>
      <c r="F117" t="s">
        <v>99</v>
      </c>
      <c r="G117" t="s">
        <v>22</v>
      </c>
      <c r="H117">
        <v>115.5</v>
      </c>
      <c r="I117" t="s">
        <v>16</v>
      </c>
      <c r="J117" t="s">
        <v>16</v>
      </c>
      <c r="K117">
        <v>243.75</v>
      </c>
      <c r="L117" t="s">
        <v>82</v>
      </c>
    </row>
    <row r="118" spans="1:12">
      <c r="A118" t="s">
        <v>287</v>
      </c>
      <c r="B118" t="s">
        <v>288</v>
      </c>
      <c r="C118" t="s">
        <v>36</v>
      </c>
      <c r="D118" t="s">
        <v>97</v>
      </c>
      <c r="E118" t="s">
        <v>98</v>
      </c>
      <c r="F118" t="s">
        <v>99</v>
      </c>
      <c r="G118" t="s">
        <v>22</v>
      </c>
      <c r="H118">
        <v>115.5</v>
      </c>
      <c r="I118" t="s">
        <v>16</v>
      </c>
      <c r="J118" t="s">
        <v>16</v>
      </c>
      <c r="K118">
        <v>243.75</v>
      </c>
      <c r="L118" t="s">
        <v>82</v>
      </c>
    </row>
    <row r="119" spans="1:12">
      <c r="A119" t="s">
        <v>289</v>
      </c>
      <c r="B119" t="s">
        <v>290</v>
      </c>
      <c r="C119" t="s">
        <v>36</v>
      </c>
      <c r="D119" t="s">
        <v>71</v>
      </c>
      <c r="E119" t="s">
        <v>72</v>
      </c>
      <c r="F119" t="s">
        <v>16</v>
      </c>
      <c r="G119" t="s">
        <v>16</v>
      </c>
      <c r="H119">
        <v>247.5</v>
      </c>
      <c r="I119">
        <v>165</v>
      </c>
      <c r="J119" t="s">
        <v>16</v>
      </c>
      <c r="K119">
        <v>325</v>
      </c>
      <c r="L119" t="s">
        <v>73</v>
      </c>
    </row>
    <row r="120" spans="1:12">
      <c r="A120" t="s">
        <v>291</v>
      </c>
      <c r="B120" t="s">
        <v>292</v>
      </c>
      <c r="C120" t="s">
        <v>36</v>
      </c>
      <c r="D120" t="s">
        <v>97</v>
      </c>
      <c r="E120" t="s">
        <v>98</v>
      </c>
      <c r="F120" t="s">
        <v>99</v>
      </c>
      <c r="G120" t="s">
        <v>22</v>
      </c>
      <c r="H120">
        <v>115.5</v>
      </c>
      <c r="I120" t="s">
        <v>16</v>
      </c>
      <c r="J120" t="s">
        <v>16</v>
      </c>
      <c r="K120">
        <v>243.75</v>
      </c>
      <c r="L120" t="s">
        <v>82</v>
      </c>
    </row>
    <row r="121" spans="1:12">
      <c r="A121" t="s">
        <v>293</v>
      </c>
      <c r="B121" t="s">
        <v>294</v>
      </c>
      <c r="C121" t="s">
        <v>36</v>
      </c>
      <c r="D121" t="s">
        <v>80</v>
      </c>
      <c r="E121" t="s">
        <v>81</v>
      </c>
      <c r="F121">
        <v>165</v>
      </c>
      <c r="G121" t="s">
        <v>22</v>
      </c>
      <c r="H121">
        <v>148.5</v>
      </c>
      <c r="I121" t="s">
        <v>16</v>
      </c>
      <c r="J121" t="s">
        <v>16</v>
      </c>
      <c r="K121">
        <v>325</v>
      </c>
      <c r="L121" t="s">
        <v>82</v>
      </c>
    </row>
    <row r="122" spans="1:12">
      <c r="A122" t="s">
        <v>295</v>
      </c>
      <c r="B122" t="s">
        <v>296</v>
      </c>
      <c r="C122" t="s">
        <v>36</v>
      </c>
      <c r="D122" t="s">
        <v>80</v>
      </c>
      <c r="E122" t="s">
        <v>126</v>
      </c>
      <c r="F122">
        <v>172</v>
      </c>
      <c r="G122" t="s">
        <v>22</v>
      </c>
      <c r="H122">
        <v>149</v>
      </c>
      <c r="I122" t="s">
        <v>16</v>
      </c>
      <c r="J122" t="s">
        <v>16</v>
      </c>
      <c r="K122">
        <v>325</v>
      </c>
      <c r="L122" t="s">
        <v>82</v>
      </c>
    </row>
    <row r="123" spans="1:12">
      <c r="A123" t="s">
        <v>297</v>
      </c>
      <c r="B123" t="s">
        <v>298</v>
      </c>
      <c r="C123" t="s">
        <v>36</v>
      </c>
      <c r="D123" t="s">
        <v>85</v>
      </c>
      <c r="E123" t="s">
        <v>126</v>
      </c>
      <c r="F123">
        <v>111</v>
      </c>
      <c r="G123" t="s">
        <v>22</v>
      </c>
      <c r="H123">
        <v>50</v>
      </c>
      <c r="I123" t="s">
        <v>16</v>
      </c>
      <c r="J123" t="s">
        <v>16</v>
      </c>
      <c r="K123">
        <v>163</v>
      </c>
      <c r="L123" t="s">
        <v>82</v>
      </c>
    </row>
    <row r="124" spans="1:12">
      <c r="A124" t="s">
        <v>299</v>
      </c>
      <c r="B124" t="s">
        <v>300</v>
      </c>
      <c r="C124" t="s">
        <v>36</v>
      </c>
      <c r="D124" t="s">
        <v>80</v>
      </c>
      <c r="E124" t="s">
        <v>126</v>
      </c>
      <c r="F124">
        <v>172</v>
      </c>
      <c r="G124" t="s">
        <v>22</v>
      </c>
      <c r="H124">
        <v>149</v>
      </c>
      <c r="I124" t="s">
        <v>16</v>
      </c>
      <c r="J124" t="s">
        <v>16</v>
      </c>
      <c r="K124">
        <v>325</v>
      </c>
      <c r="L124" t="s">
        <v>82</v>
      </c>
    </row>
    <row r="125" spans="1:12">
      <c r="A125" t="s">
        <v>301</v>
      </c>
      <c r="B125" t="s">
        <v>302</v>
      </c>
      <c r="C125" t="s">
        <v>36</v>
      </c>
      <c r="D125" t="s">
        <v>85</v>
      </c>
      <c r="E125" t="s">
        <v>126</v>
      </c>
      <c r="F125">
        <v>111</v>
      </c>
      <c r="G125" t="s">
        <v>22</v>
      </c>
      <c r="H125">
        <v>50</v>
      </c>
      <c r="I125" t="s">
        <v>16</v>
      </c>
      <c r="J125" t="s">
        <v>16</v>
      </c>
      <c r="K125">
        <v>163</v>
      </c>
      <c r="L125" t="s">
        <v>82</v>
      </c>
    </row>
    <row r="126" spans="1:12">
      <c r="A126" t="s">
        <v>303</v>
      </c>
      <c r="B126" t="s">
        <v>304</v>
      </c>
      <c r="C126" t="s">
        <v>36</v>
      </c>
      <c r="D126" t="s">
        <v>85</v>
      </c>
      <c r="E126" t="s">
        <v>126</v>
      </c>
      <c r="F126">
        <v>111</v>
      </c>
      <c r="G126" t="s">
        <v>22</v>
      </c>
      <c r="H126">
        <v>50</v>
      </c>
      <c r="I126" t="s">
        <v>16</v>
      </c>
      <c r="J126" t="s">
        <v>16</v>
      </c>
      <c r="K126">
        <v>163</v>
      </c>
      <c r="L126" t="s">
        <v>82</v>
      </c>
    </row>
    <row r="127" spans="1:12">
      <c r="A127" t="s">
        <v>305</v>
      </c>
      <c r="B127" t="s">
        <v>306</v>
      </c>
      <c r="C127" t="s">
        <v>36</v>
      </c>
      <c r="D127" t="s">
        <v>97</v>
      </c>
      <c r="E127" t="s">
        <v>126</v>
      </c>
      <c r="F127">
        <v>137</v>
      </c>
      <c r="G127" t="s">
        <v>22</v>
      </c>
      <c r="H127">
        <v>116</v>
      </c>
      <c r="I127" t="s">
        <v>16</v>
      </c>
      <c r="J127" t="s">
        <v>16</v>
      </c>
      <c r="K127">
        <v>244</v>
      </c>
      <c r="L127" t="s">
        <v>82</v>
      </c>
    </row>
    <row r="128" spans="1:12">
      <c r="A128" t="s">
        <v>307</v>
      </c>
      <c r="B128" t="s">
        <v>308</v>
      </c>
      <c r="C128" t="s">
        <v>36</v>
      </c>
      <c r="D128" t="s">
        <v>97</v>
      </c>
      <c r="E128" t="s">
        <v>126</v>
      </c>
      <c r="F128">
        <v>137</v>
      </c>
      <c r="G128" t="s">
        <v>22</v>
      </c>
      <c r="H128">
        <v>116</v>
      </c>
      <c r="I128" t="s">
        <v>16</v>
      </c>
      <c r="J128" t="s">
        <v>16</v>
      </c>
      <c r="K128">
        <v>244</v>
      </c>
      <c r="L128" t="s">
        <v>82</v>
      </c>
    </row>
    <row r="129" spans="1:12">
      <c r="A129" t="s">
        <v>309</v>
      </c>
      <c r="B129" t="s">
        <v>310</v>
      </c>
      <c r="C129" t="s">
        <v>36</v>
      </c>
      <c r="D129" t="s">
        <v>97</v>
      </c>
      <c r="E129" t="s">
        <v>126</v>
      </c>
      <c r="F129">
        <v>137</v>
      </c>
      <c r="G129" t="s">
        <v>22</v>
      </c>
      <c r="H129">
        <v>116</v>
      </c>
      <c r="I129" t="s">
        <v>16</v>
      </c>
      <c r="J129" t="s">
        <v>16</v>
      </c>
      <c r="K129">
        <v>244</v>
      </c>
      <c r="L129" t="s">
        <v>82</v>
      </c>
    </row>
    <row r="130" spans="1:12">
      <c r="A130" t="s">
        <v>311</v>
      </c>
      <c r="B130" t="s">
        <v>312</v>
      </c>
      <c r="C130" t="s">
        <v>36</v>
      </c>
      <c r="D130" t="s">
        <v>80</v>
      </c>
      <c r="E130" t="s">
        <v>126</v>
      </c>
      <c r="F130">
        <v>172</v>
      </c>
      <c r="G130" t="s">
        <v>22</v>
      </c>
      <c r="H130">
        <v>149</v>
      </c>
      <c r="I130" t="s">
        <v>16</v>
      </c>
      <c r="J130" t="s">
        <v>16</v>
      </c>
      <c r="K130">
        <v>325</v>
      </c>
      <c r="L130" t="s">
        <v>82</v>
      </c>
    </row>
    <row r="131" spans="1:12">
      <c r="A131" t="s">
        <v>313</v>
      </c>
      <c r="B131" t="s">
        <v>314</v>
      </c>
      <c r="C131" t="s">
        <v>36</v>
      </c>
      <c r="D131" t="s">
        <v>57</v>
      </c>
      <c r="E131" t="s">
        <v>58</v>
      </c>
      <c r="F131" t="s">
        <v>16</v>
      </c>
      <c r="G131" t="s">
        <v>16</v>
      </c>
      <c r="H131" t="s">
        <v>16</v>
      </c>
      <c r="I131" t="s">
        <v>16</v>
      </c>
      <c r="J131">
        <v>207.9</v>
      </c>
      <c r="K131">
        <v>325</v>
      </c>
      <c r="L131" t="s">
        <v>59</v>
      </c>
    </row>
    <row r="132" spans="1:12">
      <c r="A132" t="s">
        <v>315</v>
      </c>
      <c r="B132" t="s">
        <v>316</v>
      </c>
      <c r="C132" t="s">
        <v>36</v>
      </c>
      <c r="D132" t="s">
        <v>62</v>
      </c>
      <c r="E132" t="s">
        <v>63</v>
      </c>
      <c r="F132" t="s">
        <v>16</v>
      </c>
      <c r="G132" t="s">
        <v>16</v>
      </c>
      <c r="H132" t="s">
        <v>16</v>
      </c>
      <c r="I132" t="s">
        <v>16</v>
      </c>
      <c r="J132">
        <v>84.15</v>
      </c>
      <c r="K132">
        <v>325</v>
      </c>
      <c r="L132" t="s">
        <v>59</v>
      </c>
    </row>
    <row r="133" spans="1:12">
      <c r="A133" t="s">
        <v>317</v>
      </c>
      <c r="B133" t="s">
        <v>318</v>
      </c>
      <c r="C133" t="s">
        <v>36</v>
      </c>
      <c r="D133" t="s">
        <v>62</v>
      </c>
      <c r="E133" t="s">
        <v>63</v>
      </c>
      <c r="F133" t="s">
        <v>16</v>
      </c>
      <c r="G133" t="s">
        <v>16</v>
      </c>
      <c r="H133" t="s">
        <v>16</v>
      </c>
      <c r="I133" t="s">
        <v>16</v>
      </c>
      <c r="J133">
        <v>84.15</v>
      </c>
      <c r="K133">
        <v>325</v>
      </c>
      <c r="L133" t="s">
        <v>59</v>
      </c>
    </row>
    <row r="134" spans="1:12">
      <c r="A134" t="s">
        <v>319</v>
      </c>
      <c r="B134" t="s">
        <v>320</v>
      </c>
      <c r="C134" t="s">
        <v>36</v>
      </c>
      <c r="D134" t="s">
        <v>52</v>
      </c>
      <c r="E134" t="s">
        <v>68</v>
      </c>
      <c r="F134" t="s">
        <v>16</v>
      </c>
      <c r="G134" t="s">
        <v>16</v>
      </c>
      <c r="H134" t="s">
        <v>16</v>
      </c>
      <c r="I134" t="s">
        <v>16</v>
      </c>
      <c r="J134">
        <v>118.8</v>
      </c>
      <c r="K134">
        <v>325</v>
      </c>
      <c r="L134" t="s">
        <v>59</v>
      </c>
    </row>
    <row r="135" spans="1:12">
      <c r="A135" t="s">
        <v>321</v>
      </c>
      <c r="B135" t="s">
        <v>322</v>
      </c>
      <c r="C135" t="s">
        <v>36</v>
      </c>
      <c r="D135" t="s">
        <v>71</v>
      </c>
      <c r="E135" t="s">
        <v>72</v>
      </c>
      <c r="F135" t="s">
        <v>16</v>
      </c>
      <c r="G135" t="s">
        <v>16</v>
      </c>
      <c r="H135">
        <v>247.5</v>
      </c>
      <c r="I135">
        <v>165</v>
      </c>
      <c r="J135" t="s">
        <v>16</v>
      </c>
      <c r="K135">
        <v>325</v>
      </c>
      <c r="L135" t="s">
        <v>73</v>
      </c>
    </row>
    <row r="136" spans="1:12">
      <c r="A136" t="s">
        <v>323</v>
      </c>
      <c r="B136" t="s">
        <v>324</v>
      </c>
      <c r="C136" t="s">
        <v>36</v>
      </c>
      <c r="D136" t="s">
        <v>37</v>
      </c>
      <c r="E136" t="s">
        <v>38</v>
      </c>
      <c r="F136" t="s">
        <v>16</v>
      </c>
      <c r="G136" t="s">
        <v>16</v>
      </c>
      <c r="H136" t="s">
        <v>16</v>
      </c>
      <c r="I136" t="s">
        <v>16</v>
      </c>
      <c r="J136">
        <v>277.2</v>
      </c>
      <c r="K136">
        <v>325</v>
      </c>
      <c r="L136" t="s">
        <v>39</v>
      </c>
    </row>
    <row r="137" spans="1:12">
      <c r="A137" t="s">
        <v>325</v>
      </c>
      <c r="B137" t="s">
        <v>326</v>
      </c>
      <c r="C137" t="s">
        <v>36</v>
      </c>
      <c r="D137" t="s">
        <v>80</v>
      </c>
      <c r="E137" t="s">
        <v>81</v>
      </c>
      <c r="F137">
        <v>165</v>
      </c>
      <c r="G137" t="s">
        <v>22</v>
      </c>
      <c r="H137">
        <v>148.5</v>
      </c>
      <c r="I137" t="s">
        <v>16</v>
      </c>
      <c r="J137" t="s">
        <v>16</v>
      </c>
      <c r="K137">
        <v>325</v>
      </c>
      <c r="L137" t="s">
        <v>82</v>
      </c>
    </row>
    <row r="138" spans="1:12">
      <c r="A138" t="s">
        <v>327</v>
      </c>
      <c r="B138" t="s">
        <v>328</v>
      </c>
      <c r="C138" t="s">
        <v>36</v>
      </c>
      <c r="D138" t="s">
        <v>42</v>
      </c>
      <c r="E138" t="s">
        <v>43</v>
      </c>
      <c r="F138" t="s">
        <v>16</v>
      </c>
      <c r="G138" t="s">
        <v>16</v>
      </c>
      <c r="H138" t="s">
        <v>16</v>
      </c>
      <c r="I138" t="s">
        <v>16</v>
      </c>
      <c r="J138">
        <v>112.2</v>
      </c>
      <c r="K138">
        <v>325</v>
      </c>
      <c r="L138" t="s">
        <v>39</v>
      </c>
    </row>
    <row r="139" spans="1:12">
      <c r="A139" t="s">
        <v>329</v>
      </c>
      <c r="B139" t="s">
        <v>330</v>
      </c>
      <c r="C139" t="s">
        <v>36</v>
      </c>
      <c r="D139" t="s">
        <v>85</v>
      </c>
      <c r="E139" t="s">
        <v>86</v>
      </c>
      <c r="F139">
        <v>99</v>
      </c>
      <c r="G139" t="s">
        <v>22</v>
      </c>
      <c r="H139">
        <v>49.5</v>
      </c>
      <c r="I139" t="s">
        <v>16</v>
      </c>
      <c r="J139" t="s">
        <v>16</v>
      </c>
      <c r="K139">
        <v>162.5</v>
      </c>
      <c r="L139" t="s">
        <v>82</v>
      </c>
    </row>
    <row r="140" spans="1:12">
      <c r="A140" t="s">
        <v>331</v>
      </c>
      <c r="B140" t="s">
        <v>332</v>
      </c>
      <c r="C140" t="s">
        <v>36</v>
      </c>
      <c r="D140" t="s">
        <v>42</v>
      </c>
      <c r="E140" t="s">
        <v>43</v>
      </c>
      <c r="F140" t="s">
        <v>16</v>
      </c>
      <c r="G140" t="s">
        <v>16</v>
      </c>
      <c r="H140" t="s">
        <v>16</v>
      </c>
      <c r="I140" t="s">
        <v>16</v>
      </c>
      <c r="J140">
        <v>112.2</v>
      </c>
      <c r="K140">
        <v>325</v>
      </c>
      <c r="L140" t="s">
        <v>39</v>
      </c>
    </row>
    <row r="141" spans="1:12">
      <c r="A141" t="s">
        <v>333</v>
      </c>
      <c r="B141" t="s">
        <v>334</v>
      </c>
      <c r="C141" t="s">
        <v>36</v>
      </c>
      <c r="D141" t="s">
        <v>80</v>
      </c>
      <c r="E141" t="s">
        <v>81</v>
      </c>
      <c r="F141">
        <v>165</v>
      </c>
      <c r="G141" t="s">
        <v>22</v>
      </c>
      <c r="H141">
        <v>148.5</v>
      </c>
      <c r="I141" t="s">
        <v>16</v>
      </c>
      <c r="J141" t="s">
        <v>16</v>
      </c>
      <c r="K141">
        <v>325</v>
      </c>
      <c r="L141" t="s">
        <v>82</v>
      </c>
    </row>
    <row r="142" spans="1:12">
      <c r="A142" t="s">
        <v>335</v>
      </c>
      <c r="B142" t="s">
        <v>336</v>
      </c>
      <c r="C142" t="s">
        <v>36</v>
      </c>
      <c r="D142" t="s">
        <v>85</v>
      </c>
      <c r="E142" t="s">
        <v>86</v>
      </c>
      <c r="F142">
        <v>99</v>
      </c>
      <c r="G142" t="s">
        <v>22</v>
      </c>
      <c r="H142">
        <v>49.5</v>
      </c>
      <c r="I142" t="s">
        <v>16</v>
      </c>
      <c r="J142" t="s">
        <v>16</v>
      </c>
      <c r="K142">
        <v>162.5</v>
      </c>
      <c r="L142" t="s">
        <v>82</v>
      </c>
    </row>
    <row r="143" spans="1:12">
      <c r="A143" t="s">
        <v>337</v>
      </c>
      <c r="B143" t="s">
        <v>338</v>
      </c>
      <c r="C143" t="s">
        <v>36</v>
      </c>
      <c r="D143" t="s">
        <v>48</v>
      </c>
      <c r="E143" t="s">
        <v>49</v>
      </c>
      <c r="F143" t="s">
        <v>16</v>
      </c>
      <c r="G143" t="s">
        <v>16</v>
      </c>
      <c r="H143" t="s">
        <v>16</v>
      </c>
      <c r="I143" t="s">
        <v>16</v>
      </c>
      <c r="J143">
        <v>158.4</v>
      </c>
      <c r="K143">
        <v>325</v>
      </c>
      <c r="L143" t="s">
        <v>39</v>
      </c>
    </row>
    <row r="144" spans="1:12">
      <c r="A144" t="s">
        <v>339</v>
      </c>
      <c r="B144" t="s">
        <v>340</v>
      </c>
      <c r="C144" t="s">
        <v>36</v>
      </c>
      <c r="D144" t="s">
        <v>85</v>
      </c>
      <c r="E144" t="s">
        <v>86</v>
      </c>
      <c r="F144">
        <v>99</v>
      </c>
      <c r="G144" t="s">
        <v>22</v>
      </c>
      <c r="H144">
        <v>49.5</v>
      </c>
      <c r="I144" t="s">
        <v>16</v>
      </c>
      <c r="J144" t="s">
        <v>16</v>
      </c>
      <c r="K144">
        <v>162.5</v>
      </c>
      <c r="L144" t="s">
        <v>82</v>
      </c>
    </row>
    <row r="145" spans="1:12">
      <c r="A145" t="s">
        <v>341</v>
      </c>
      <c r="B145" t="s">
        <v>342</v>
      </c>
      <c r="C145" t="s">
        <v>36</v>
      </c>
      <c r="D145" t="s">
        <v>97</v>
      </c>
      <c r="E145" t="s">
        <v>98</v>
      </c>
      <c r="F145" t="s">
        <v>99</v>
      </c>
      <c r="G145" t="s">
        <v>22</v>
      </c>
      <c r="H145">
        <v>115.5</v>
      </c>
      <c r="I145" t="s">
        <v>16</v>
      </c>
      <c r="J145" t="s">
        <v>16</v>
      </c>
      <c r="K145">
        <v>243.75</v>
      </c>
      <c r="L145" t="s">
        <v>82</v>
      </c>
    </row>
    <row r="146" spans="1:12">
      <c r="A146" t="s">
        <v>343</v>
      </c>
      <c r="B146" t="s">
        <v>344</v>
      </c>
      <c r="C146" t="s">
        <v>36</v>
      </c>
      <c r="D146" t="s">
        <v>97</v>
      </c>
      <c r="E146" t="s">
        <v>98</v>
      </c>
      <c r="F146" t="s">
        <v>99</v>
      </c>
      <c r="G146" t="s">
        <v>22</v>
      </c>
      <c r="H146">
        <v>115.5</v>
      </c>
      <c r="I146" t="s">
        <v>16</v>
      </c>
      <c r="J146" t="s">
        <v>16</v>
      </c>
      <c r="K146">
        <v>243.75</v>
      </c>
      <c r="L146" t="s">
        <v>82</v>
      </c>
    </row>
    <row r="147" spans="1:12">
      <c r="A147" t="s">
        <v>345</v>
      </c>
      <c r="B147" t="s">
        <v>346</v>
      </c>
      <c r="C147" t="s">
        <v>36</v>
      </c>
      <c r="D147" t="s">
        <v>52</v>
      </c>
      <c r="E147" t="s">
        <v>53</v>
      </c>
      <c r="F147" t="s">
        <v>16</v>
      </c>
      <c r="G147" t="s">
        <v>16</v>
      </c>
      <c r="H147">
        <v>330</v>
      </c>
      <c r="I147">
        <v>165</v>
      </c>
      <c r="J147" t="s">
        <v>16</v>
      </c>
      <c r="K147">
        <v>325</v>
      </c>
      <c r="L147" t="s">
        <v>54</v>
      </c>
    </row>
    <row r="148" spans="1:12">
      <c r="A148" t="s">
        <v>347</v>
      </c>
      <c r="B148" t="s">
        <v>348</v>
      </c>
      <c r="C148" t="s">
        <v>36</v>
      </c>
      <c r="D148" t="s">
        <v>97</v>
      </c>
      <c r="E148" t="s">
        <v>98</v>
      </c>
      <c r="F148" t="s">
        <v>99</v>
      </c>
      <c r="G148" t="s">
        <v>22</v>
      </c>
      <c r="H148">
        <v>115.5</v>
      </c>
      <c r="I148" t="s">
        <v>16</v>
      </c>
      <c r="J148" t="s">
        <v>16</v>
      </c>
      <c r="K148">
        <v>243.75</v>
      </c>
      <c r="L148" t="s">
        <v>82</v>
      </c>
    </row>
    <row r="149" spans="1:12">
      <c r="A149" t="s">
        <v>349</v>
      </c>
      <c r="B149" t="s">
        <v>350</v>
      </c>
      <c r="C149" t="s">
        <v>36</v>
      </c>
      <c r="D149" t="s">
        <v>80</v>
      </c>
      <c r="E149" t="s">
        <v>81</v>
      </c>
      <c r="F149">
        <v>165</v>
      </c>
      <c r="G149" t="s">
        <v>22</v>
      </c>
      <c r="H149">
        <v>148.5</v>
      </c>
      <c r="I149" t="s">
        <v>16</v>
      </c>
      <c r="J149" t="s">
        <v>16</v>
      </c>
      <c r="K149">
        <v>325</v>
      </c>
      <c r="L149" t="s">
        <v>82</v>
      </c>
    </row>
    <row r="150" spans="1:12">
      <c r="A150" t="s">
        <v>351</v>
      </c>
      <c r="B150" t="s">
        <v>352</v>
      </c>
      <c r="C150" t="s">
        <v>36</v>
      </c>
      <c r="D150" t="s">
        <v>57</v>
      </c>
      <c r="E150" t="s">
        <v>58</v>
      </c>
      <c r="F150" t="s">
        <v>16</v>
      </c>
      <c r="G150" t="s">
        <v>16</v>
      </c>
      <c r="H150" t="s">
        <v>16</v>
      </c>
      <c r="I150" t="s">
        <v>16</v>
      </c>
      <c r="J150">
        <v>207.9</v>
      </c>
      <c r="K150">
        <v>325</v>
      </c>
      <c r="L150" t="s">
        <v>59</v>
      </c>
    </row>
    <row r="151" spans="1:12">
      <c r="A151" t="s">
        <v>353</v>
      </c>
      <c r="B151" t="s">
        <v>354</v>
      </c>
      <c r="C151" t="s">
        <v>36</v>
      </c>
      <c r="D151" t="s">
        <v>62</v>
      </c>
      <c r="E151" t="s">
        <v>63</v>
      </c>
      <c r="F151" t="s">
        <v>16</v>
      </c>
      <c r="G151" t="s">
        <v>16</v>
      </c>
      <c r="H151" t="s">
        <v>16</v>
      </c>
      <c r="I151" t="s">
        <v>16</v>
      </c>
      <c r="J151">
        <v>84.15</v>
      </c>
      <c r="K151">
        <v>325</v>
      </c>
      <c r="L151" t="s">
        <v>59</v>
      </c>
    </row>
    <row r="152" spans="1:12">
      <c r="A152" t="s">
        <v>355</v>
      </c>
      <c r="B152" t="s">
        <v>356</v>
      </c>
      <c r="C152" t="s">
        <v>36</v>
      </c>
      <c r="D152" t="s">
        <v>62</v>
      </c>
      <c r="E152" t="s">
        <v>63</v>
      </c>
      <c r="F152" t="s">
        <v>16</v>
      </c>
      <c r="G152" t="s">
        <v>16</v>
      </c>
      <c r="H152" t="s">
        <v>16</v>
      </c>
      <c r="I152" t="s">
        <v>16</v>
      </c>
      <c r="J152">
        <v>84.15</v>
      </c>
      <c r="K152">
        <v>325</v>
      </c>
      <c r="L152" t="s">
        <v>59</v>
      </c>
    </row>
    <row r="153" spans="1:12">
      <c r="A153" t="s">
        <v>357</v>
      </c>
      <c r="B153" t="s">
        <v>358</v>
      </c>
      <c r="C153" t="s">
        <v>36</v>
      </c>
      <c r="D153" t="s">
        <v>52</v>
      </c>
      <c r="E153" t="s">
        <v>68</v>
      </c>
      <c r="F153" t="s">
        <v>16</v>
      </c>
      <c r="G153" t="s">
        <v>16</v>
      </c>
      <c r="H153" t="s">
        <v>16</v>
      </c>
      <c r="I153" t="s">
        <v>16</v>
      </c>
      <c r="J153">
        <v>118.8</v>
      </c>
      <c r="K153">
        <v>325</v>
      </c>
      <c r="L153" t="s">
        <v>59</v>
      </c>
    </row>
    <row r="154" spans="1:12">
      <c r="A154" t="s">
        <v>359</v>
      </c>
      <c r="B154" t="s">
        <v>360</v>
      </c>
      <c r="C154" t="s">
        <v>36</v>
      </c>
      <c r="D154" t="s">
        <v>71</v>
      </c>
      <c r="E154" t="s">
        <v>72</v>
      </c>
      <c r="F154" t="s">
        <v>16</v>
      </c>
      <c r="G154" t="s">
        <v>16</v>
      </c>
      <c r="H154">
        <v>247.5</v>
      </c>
      <c r="I154">
        <v>165</v>
      </c>
      <c r="J154" t="s">
        <v>16</v>
      </c>
      <c r="K154">
        <v>325</v>
      </c>
      <c r="L154" t="s">
        <v>73</v>
      </c>
    </row>
    <row r="155" spans="1:12">
      <c r="A155" t="s">
        <v>361</v>
      </c>
      <c r="B155" t="s">
        <v>362</v>
      </c>
      <c r="C155" t="s">
        <v>13</v>
      </c>
      <c r="D155" t="s">
        <v>20</v>
      </c>
      <c r="E155" t="s">
        <v>21</v>
      </c>
      <c r="F155">
        <v>192</v>
      </c>
      <c r="G155" t="s">
        <v>22</v>
      </c>
      <c r="H155">
        <v>168</v>
      </c>
      <c r="I155" t="s">
        <v>16</v>
      </c>
      <c r="J155" t="s">
        <v>16</v>
      </c>
      <c r="K155">
        <v>507</v>
      </c>
      <c r="L155" t="s">
        <v>363</v>
      </c>
    </row>
    <row r="156" spans="1:12">
      <c r="A156" t="s">
        <v>364</v>
      </c>
      <c r="B156" t="s">
        <v>365</v>
      </c>
      <c r="C156" t="s">
        <v>13</v>
      </c>
      <c r="D156" t="s">
        <v>20</v>
      </c>
      <c r="E156" t="s">
        <v>21</v>
      </c>
      <c r="F156">
        <v>240</v>
      </c>
      <c r="G156" t="s">
        <v>22</v>
      </c>
      <c r="H156">
        <v>216</v>
      </c>
      <c r="I156" t="s">
        <v>16</v>
      </c>
      <c r="J156" t="s">
        <v>16</v>
      </c>
      <c r="K156">
        <v>675</v>
      </c>
      <c r="L156" t="s">
        <v>366</v>
      </c>
    </row>
    <row r="157" spans="1:12">
      <c r="A157" t="s">
        <v>367</v>
      </c>
      <c r="B157" t="s">
        <v>368</v>
      </c>
      <c r="C157" t="s">
        <v>13</v>
      </c>
      <c r="D157" t="s">
        <v>20</v>
      </c>
      <c r="E157" t="s">
        <v>21</v>
      </c>
      <c r="F157" t="s">
        <v>369</v>
      </c>
      <c r="G157" t="s">
        <v>16</v>
      </c>
      <c r="H157">
        <v>168</v>
      </c>
      <c r="I157" t="s">
        <v>16</v>
      </c>
      <c r="J157" t="s">
        <v>16</v>
      </c>
      <c r="K157">
        <v>507</v>
      </c>
      <c r="L157" t="s">
        <v>370</v>
      </c>
    </row>
    <row r="158" spans="1:12">
      <c r="A158" t="s">
        <v>371</v>
      </c>
      <c r="B158" t="s">
        <v>372</v>
      </c>
      <c r="C158" t="s">
        <v>36</v>
      </c>
      <c r="D158" t="s">
        <v>80</v>
      </c>
      <c r="E158" t="s">
        <v>81</v>
      </c>
      <c r="F158">
        <v>165</v>
      </c>
      <c r="G158" t="s">
        <v>22</v>
      </c>
      <c r="H158">
        <v>148.5</v>
      </c>
      <c r="I158" t="s">
        <v>16</v>
      </c>
      <c r="J158" t="s">
        <v>16</v>
      </c>
      <c r="K158">
        <v>325</v>
      </c>
      <c r="L158" t="s">
        <v>82</v>
      </c>
    </row>
    <row r="159" spans="1:12">
      <c r="A159" t="s">
        <v>373</v>
      </c>
      <c r="B159" t="s">
        <v>374</v>
      </c>
      <c r="C159" t="s">
        <v>36</v>
      </c>
      <c r="D159" t="s">
        <v>85</v>
      </c>
      <c r="E159" t="s">
        <v>86</v>
      </c>
      <c r="F159">
        <v>99</v>
      </c>
      <c r="G159" t="s">
        <v>22</v>
      </c>
      <c r="H159">
        <v>49.5</v>
      </c>
      <c r="I159" t="s">
        <v>16</v>
      </c>
      <c r="J159" t="s">
        <v>16</v>
      </c>
      <c r="K159">
        <v>162.5</v>
      </c>
      <c r="L159" t="s">
        <v>82</v>
      </c>
    </row>
    <row r="160" spans="1:12">
      <c r="A160" t="s">
        <v>375</v>
      </c>
      <c r="B160" t="s">
        <v>376</v>
      </c>
      <c r="C160" t="s">
        <v>36</v>
      </c>
      <c r="D160" t="s">
        <v>80</v>
      </c>
      <c r="E160" t="s">
        <v>81</v>
      </c>
      <c r="F160">
        <v>165</v>
      </c>
      <c r="G160" t="s">
        <v>22</v>
      </c>
      <c r="H160">
        <v>148.5</v>
      </c>
      <c r="I160" t="s">
        <v>16</v>
      </c>
      <c r="J160" t="s">
        <v>16</v>
      </c>
      <c r="K160">
        <v>325</v>
      </c>
      <c r="L160" t="s">
        <v>82</v>
      </c>
    </row>
    <row r="161" spans="1:12">
      <c r="A161" t="s">
        <v>377</v>
      </c>
      <c r="B161" t="s">
        <v>378</v>
      </c>
      <c r="C161" t="s">
        <v>36</v>
      </c>
      <c r="D161" t="s">
        <v>85</v>
      </c>
      <c r="E161" t="s">
        <v>86</v>
      </c>
      <c r="F161">
        <v>99</v>
      </c>
      <c r="G161" t="s">
        <v>22</v>
      </c>
      <c r="H161">
        <v>49.5</v>
      </c>
      <c r="I161" t="s">
        <v>16</v>
      </c>
      <c r="J161" t="s">
        <v>16</v>
      </c>
      <c r="K161">
        <v>162.5</v>
      </c>
      <c r="L161" t="s">
        <v>82</v>
      </c>
    </row>
    <row r="162" spans="1:12">
      <c r="A162" t="s">
        <v>379</v>
      </c>
      <c r="B162" t="s">
        <v>380</v>
      </c>
      <c r="C162" t="s">
        <v>36</v>
      </c>
      <c r="D162" t="s">
        <v>85</v>
      </c>
      <c r="E162" t="s">
        <v>86</v>
      </c>
      <c r="F162">
        <v>99</v>
      </c>
      <c r="G162" t="s">
        <v>22</v>
      </c>
      <c r="H162">
        <v>49.5</v>
      </c>
      <c r="I162" t="s">
        <v>16</v>
      </c>
      <c r="J162" t="s">
        <v>16</v>
      </c>
      <c r="K162">
        <v>162.5</v>
      </c>
      <c r="L162" t="s">
        <v>82</v>
      </c>
    </row>
    <row r="163" spans="1:12">
      <c r="A163" t="s">
        <v>381</v>
      </c>
      <c r="B163" t="s">
        <v>382</v>
      </c>
      <c r="C163" t="s">
        <v>36</v>
      </c>
      <c r="D163" t="s">
        <v>97</v>
      </c>
      <c r="E163" t="s">
        <v>98</v>
      </c>
      <c r="F163" t="s">
        <v>99</v>
      </c>
      <c r="G163" t="s">
        <v>22</v>
      </c>
      <c r="H163">
        <v>115.5</v>
      </c>
      <c r="I163" t="s">
        <v>16</v>
      </c>
      <c r="J163" t="s">
        <v>16</v>
      </c>
      <c r="K163">
        <v>243.75</v>
      </c>
      <c r="L163" t="s">
        <v>82</v>
      </c>
    </row>
    <row r="164" spans="1:12">
      <c r="A164" t="s">
        <v>383</v>
      </c>
      <c r="B164" t="s">
        <v>384</v>
      </c>
      <c r="C164" t="s">
        <v>36</v>
      </c>
      <c r="D164" t="s">
        <v>97</v>
      </c>
      <c r="E164" t="s">
        <v>98</v>
      </c>
      <c r="F164" t="s">
        <v>99</v>
      </c>
      <c r="G164" t="s">
        <v>22</v>
      </c>
      <c r="H164">
        <v>115.5</v>
      </c>
      <c r="I164" t="s">
        <v>16</v>
      </c>
      <c r="J164" t="s">
        <v>16</v>
      </c>
      <c r="K164">
        <v>243.75</v>
      </c>
      <c r="L164" t="s">
        <v>82</v>
      </c>
    </row>
    <row r="165" spans="1:12">
      <c r="A165" t="s">
        <v>385</v>
      </c>
      <c r="B165" t="s">
        <v>386</v>
      </c>
      <c r="C165" t="s">
        <v>36</v>
      </c>
      <c r="D165" t="s">
        <v>37</v>
      </c>
      <c r="E165" t="s">
        <v>38</v>
      </c>
      <c r="F165" t="s">
        <v>16</v>
      </c>
      <c r="G165" t="s">
        <v>16</v>
      </c>
      <c r="H165" t="s">
        <v>16</v>
      </c>
      <c r="I165" t="s">
        <v>16</v>
      </c>
      <c r="J165">
        <v>277.2</v>
      </c>
      <c r="K165">
        <v>325</v>
      </c>
      <c r="L165" t="s">
        <v>39</v>
      </c>
    </row>
    <row r="166" spans="1:12">
      <c r="A166" t="s">
        <v>387</v>
      </c>
      <c r="B166" t="s">
        <v>388</v>
      </c>
      <c r="C166" t="s">
        <v>36</v>
      </c>
      <c r="D166" t="s">
        <v>42</v>
      </c>
      <c r="E166" t="s">
        <v>43</v>
      </c>
      <c r="F166" t="s">
        <v>16</v>
      </c>
      <c r="G166" t="s">
        <v>16</v>
      </c>
      <c r="H166" t="s">
        <v>16</v>
      </c>
      <c r="I166" t="s">
        <v>16</v>
      </c>
      <c r="J166">
        <v>112.2</v>
      </c>
      <c r="K166">
        <v>325</v>
      </c>
      <c r="L166" t="s">
        <v>39</v>
      </c>
    </row>
    <row r="167" spans="1:12">
      <c r="A167" t="s">
        <v>389</v>
      </c>
      <c r="B167" t="s">
        <v>390</v>
      </c>
      <c r="C167" t="s">
        <v>36</v>
      </c>
      <c r="D167" t="s">
        <v>42</v>
      </c>
      <c r="E167" t="s">
        <v>43</v>
      </c>
      <c r="F167" t="s">
        <v>16</v>
      </c>
      <c r="G167" t="s">
        <v>16</v>
      </c>
      <c r="H167" t="s">
        <v>16</v>
      </c>
      <c r="I167" t="s">
        <v>16</v>
      </c>
      <c r="J167">
        <v>112.2</v>
      </c>
      <c r="K167">
        <v>325</v>
      </c>
      <c r="L167" t="s">
        <v>39</v>
      </c>
    </row>
    <row r="168" spans="1:12">
      <c r="A168" t="s">
        <v>391</v>
      </c>
      <c r="B168" t="s">
        <v>392</v>
      </c>
      <c r="C168" t="s">
        <v>36</v>
      </c>
      <c r="D168" t="s">
        <v>48</v>
      </c>
      <c r="E168" t="s">
        <v>49</v>
      </c>
      <c r="F168" t="s">
        <v>16</v>
      </c>
      <c r="G168" t="s">
        <v>16</v>
      </c>
      <c r="H168" t="s">
        <v>16</v>
      </c>
      <c r="I168" t="s">
        <v>16</v>
      </c>
      <c r="J168">
        <v>158.4</v>
      </c>
      <c r="K168">
        <v>325</v>
      </c>
      <c r="L168" t="s">
        <v>39</v>
      </c>
    </row>
    <row r="169" spans="1:12">
      <c r="A169" t="s">
        <v>393</v>
      </c>
      <c r="B169" t="s">
        <v>394</v>
      </c>
      <c r="C169" t="s">
        <v>36</v>
      </c>
      <c r="D169" t="s">
        <v>57</v>
      </c>
      <c r="E169" t="s">
        <v>58</v>
      </c>
      <c r="F169" t="s">
        <v>16</v>
      </c>
      <c r="G169" t="s">
        <v>16</v>
      </c>
      <c r="H169" t="s">
        <v>16</v>
      </c>
      <c r="I169" t="s">
        <v>16</v>
      </c>
      <c r="J169">
        <v>207.9</v>
      </c>
      <c r="K169">
        <v>325</v>
      </c>
      <c r="L169" t="s">
        <v>59</v>
      </c>
    </row>
    <row r="170" spans="1:12">
      <c r="A170" t="s">
        <v>395</v>
      </c>
      <c r="B170" t="s">
        <v>396</v>
      </c>
      <c r="C170" t="s">
        <v>36</v>
      </c>
      <c r="D170" t="s">
        <v>62</v>
      </c>
      <c r="E170" t="s">
        <v>63</v>
      </c>
      <c r="F170" t="s">
        <v>16</v>
      </c>
      <c r="G170" t="s">
        <v>16</v>
      </c>
      <c r="H170" t="s">
        <v>16</v>
      </c>
      <c r="I170" t="s">
        <v>16</v>
      </c>
      <c r="J170">
        <v>84.15</v>
      </c>
      <c r="K170">
        <v>325</v>
      </c>
      <c r="L170" t="s">
        <v>59</v>
      </c>
    </row>
    <row r="171" spans="1:12">
      <c r="A171" t="s">
        <v>397</v>
      </c>
      <c r="B171" t="s">
        <v>398</v>
      </c>
      <c r="C171" t="s">
        <v>36</v>
      </c>
      <c r="D171" t="s">
        <v>62</v>
      </c>
      <c r="E171" t="s">
        <v>63</v>
      </c>
      <c r="F171" t="s">
        <v>16</v>
      </c>
      <c r="G171" t="s">
        <v>16</v>
      </c>
      <c r="H171" t="s">
        <v>16</v>
      </c>
      <c r="I171" t="s">
        <v>16</v>
      </c>
      <c r="J171">
        <v>84.15</v>
      </c>
      <c r="K171">
        <v>325</v>
      </c>
      <c r="L171" t="s">
        <v>59</v>
      </c>
    </row>
    <row r="172" spans="1:12">
      <c r="A172" t="s">
        <v>399</v>
      </c>
      <c r="B172" t="s">
        <v>400</v>
      </c>
      <c r="C172" t="s">
        <v>36</v>
      </c>
      <c r="D172" t="s">
        <v>52</v>
      </c>
      <c r="E172" t="s">
        <v>68</v>
      </c>
      <c r="F172" t="s">
        <v>16</v>
      </c>
      <c r="G172" t="s">
        <v>16</v>
      </c>
      <c r="H172" t="s">
        <v>16</v>
      </c>
      <c r="I172" t="s">
        <v>16</v>
      </c>
      <c r="J172">
        <v>118.8</v>
      </c>
      <c r="K172">
        <v>325</v>
      </c>
      <c r="L172" t="s">
        <v>59</v>
      </c>
    </row>
    <row r="173" spans="1:12">
      <c r="A173" t="s">
        <v>401</v>
      </c>
      <c r="B173" t="s">
        <v>402</v>
      </c>
      <c r="C173" t="s">
        <v>36</v>
      </c>
      <c r="D173" t="s">
        <v>71</v>
      </c>
      <c r="E173" t="s">
        <v>72</v>
      </c>
      <c r="F173" t="s">
        <v>16</v>
      </c>
      <c r="G173" t="s">
        <v>16</v>
      </c>
      <c r="H173">
        <v>247.5</v>
      </c>
      <c r="I173">
        <v>165</v>
      </c>
      <c r="J173" t="s">
        <v>16</v>
      </c>
      <c r="K173">
        <v>325</v>
      </c>
      <c r="L173" t="s">
        <v>73</v>
      </c>
    </row>
    <row r="174" spans="1:12">
      <c r="A174" t="s">
        <v>403</v>
      </c>
      <c r="B174" t="s">
        <v>404</v>
      </c>
      <c r="C174" t="s">
        <v>36</v>
      </c>
      <c r="D174" t="s">
        <v>52</v>
      </c>
      <c r="E174" t="s">
        <v>53</v>
      </c>
      <c r="F174" t="s">
        <v>16</v>
      </c>
      <c r="G174" t="s">
        <v>16</v>
      </c>
      <c r="H174">
        <v>330</v>
      </c>
      <c r="I174">
        <v>165</v>
      </c>
      <c r="J174" t="s">
        <v>16</v>
      </c>
      <c r="K174">
        <v>325</v>
      </c>
      <c r="L174" t="s">
        <v>54</v>
      </c>
    </row>
    <row r="175" spans="1:12">
      <c r="A175" t="s">
        <v>405</v>
      </c>
      <c r="B175" t="s">
        <v>406</v>
      </c>
      <c r="C175" t="s">
        <v>36</v>
      </c>
      <c r="D175" t="s">
        <v>97</v>
      </c>
      <c r="E175" t="s">
        <v>98</v>
      </c>
      <c r="F175" t="s">
        <v>99</v>
      </c>
      <c r="G175" t="s">
        <v>22</v>
      </c>
      <c r="H175">
        <v>115.5</v>
      </c>
      <c r="I175" t="s">
        <v>16</v>
      </c>
      <c r="J175" t="s">
        <v>16</v>
      </c>
      <c r="K175">
        <v>243.75</v>
      </c>
      <c r="L175" t="s">
        <v>82</v>
      </c>
    </row>
    <row r="176" spans="1:12">
      <c r="A176" t="s">
        <v>407</v>
      </c>
      <c r="B176" t="s">
        <v>408</v>
      </c>
      <c r="C176" t="s">
        <v>36</v>
      </c>
      <c r="D176" t="s">
        <v>80</v>
      </c>
      <c r="E176" t="s">
        <v>81</v>
      </c>
      <c r="F176">
        <v>165</v>
      </c>
      <c r="G176" t="s">
        <v>22</v>
      </c>
      <c r="H176">
        <v>148.5</v>
      </c>
      <c r="I176" t="s">
        <v>16</v>
      </c>
      <c r="J176" t="s">
        <v>16</v>
      </c>
      <c r="K176">
        <v>325</v>
      </c>
      <c r="L176" t="s">
        <v>82</v>
      </c>
    </row>
    <row r="177" spans="1:12">
      <c r="A177" t="s">
        <v>409</v>
      </c>
      <c r="B177" t="s">
        <v>410</v>
      </c>
      <c r="C177" t="s">
        <v>13</v>
      </c>
      <c r="D177" t="s">
        <v>247</v>
      </c>
      <c r="E177" t="s">
        <v>15</v>
      </c>
      <c r="F177" t="s">
        <v>16</v>
      </c>
      <c r="G177" t="s">
        <v>16</v>
      </c>
      <c r="H177" t="s">
        <v>16</v>
      </c>
      <c r="I177" t="s">
        <v>16</v>
      </c>
      <c r="J177">
        <v>230.4</v>
      </c>
      <c r="K177">
        <v>675</v>
      </c>
      <c r="L177" t="s">
        <v>411</v>
      </c>
    </row>
    <row r="178" spans="1:12">
      <c r="A178" t="s">
        <v>412</v>
      </c>
      <c r="B178" t="s">
        <v>413</v>
      </c>
      <c r="C178" t="s">
        <v>13</v>
      </c>
      <c r="D178" t="s">
        <v>14</v>
      </c>
      <c r="E178" t="s">
        <v>15</v>
      </c>
      <c r="F178" t="s">
        <v>16</v>
      </c>
      <c r="G178" t="s">
        <v>16</v>
      </c>
      <c r="H178" t="s">
        <v>16</v>
      </c>
      <c r="I178" t="s">
        <v>16</v>
      </c>
      <c r="J178">
        <v>403.2</v>
      </c>
      <c r="K178">
        <v>675</v>
      </c>
      <c r="L178" t="s">
        <v>414</v>
      </c>
    </row>
    <row r="179" spans="1:12">
      <c r="A179" t="s">
        <v>415</v>
      </c>
      <c r="B179" t="s">
        <v>416</v>
      </c>
      <c r="C179" t="s">
        <v>13</v>
      </c>
      <c r="D179" t="s">
        <v>14</v>
      </c>
      <c r="E179" t="s">
        <v>15</v>
      </c>
      <c r="F179" t="s">
        <v>16</v>
      </c>
      <c r="G179" t="s">
        <v>16</v>
      </c>
      <c r="H179" t="s">
        <v>16</v>
      </c>
      <c r="I179" t="s">
        <v>16</v>
      </c>
      <c r="J179">
        <v>302.39999999999998</v>
      </c>
      <c r="K179">
        <v>675</v>
      </c>
      <c r="L179" t="s">
        <v>417</v>
      </c>
    </row>
    <row r="180" spans="1:12">
      <c r="A180" t="s">
        <v>418</v>
      </c>
      <c r="B180" t="s">
        <v>419</v>
      </c>
      <c r="C180" t="s">
        <v>36</v>
      </c>
      <c r="D180" t="s">
        <v>37</v>
      </c>
      <c r="E180" t="s">
        <v>38</v>
      </c>
      <c r="F180" t="s">
        <v>16</v>
      </c>
      <c r="G180" t="s">
        <v>16</v>
      </c>
      <c r="H180" t="s">
        <v>16</v>
      </c>
      <c r="I180" t="s">
        <v>16</v>
      </c>
      <c r="J180">
        <v>277.2</v>
      </c>
      <c r="K180">
        <v>325</v>
      </c>
      <c r="L180" t="s">
        <v>39</v>
      </c>
    </row>
    <row r="181" spans="1:12">
      <c r="A181" t="s">
        <v>420</v>
      </c>
      <c r="B181" t="s">
        <v>421</v>
      </c>
      <c r="C181" t="s">
        <v>36</v>
      </c>
      <c r="D181" t="s">
        <v>42</v>
      </c>
      <c r="E181" t="s">
        <v>43</v>
      </c>
      <c r="F181" t="s">
        <v>16</v>
      </c>
      <c r="G181" t="s">
        <v>16</v>
      </c>
      <c r="H181" t="s">
        <v>16</v>
      </c>
      <c r="I181" t="s">
        <v>16</v>
      </c>
      <c r="J181">
        <v>112.2</v>
      </c>
      <c r="K181">
        <v>325</v>
      </c>
      <c r="L181" t="s">
        <v>39</v>
      </c>
    </row>
    <row r="182" spans="1:12">
      <c r="A182" t="s">
        <v>422</v>
      </c>
      <c r="B182" t="s">
        <v>423</v>
      </c>
      <c r="C182" t="s">
        <v>36</v>
      </c>
      <c r="D182" t="s">
        <v>42</v>
      </c>
      <c r="E182" t="s">
        <v>43</v>
      </c>
      <c r="F182" t="s">
        <v>16</v>
      </c>
      <c r="G182" t="s">
        <v>16</v>
      </c>
      <c r="H182" t="s">
        <v>16</v>
      </c>
      <c r="I182" t="s">
        <v>16</v>
      </c>
      <c r="J182">
        <v>112.2</v>
      </c>
      <c r="K182">
        <v>325</v>
      </c>
      <c r="L182" t="s">
        <v>39</v>
      </c>
    </row>
    <row r="183" spans="1:12">
      <c r="A183" t="s">
        <v>424</v>
      </c>
      <c r="B183" t="s">
        <v>425</v>
      </c>
      <c r="C183" t="s">
        <v>36</v>
      </c>
      <c r="D183" t="s">
        <v>48</v>
      </c>
      <c r="E183" t="s">
        <v>49</v>
      </c>
      <c r="F183" t="s">
        <v>16</v>
      </c>
      <c r="G183" t="s">
        <v>16</v>
      </c>
      <c r="H183" t="s">
        <v>16</v>
      </c>
      <c r="I183" t="s">
        <v>16</v>
      </c>
      <c r="J183">
        <v>158.4</v>
      </c>
      <c r="K183">
        <v>325</v>
      </c>
      <c r="L183" t="s">
        <v>39</v>
      </c>
    </row>
    <row r="184" spans="1:12">
      <c r="A184" t="s">
        <v>426</v>
      </c>
      <c r="B184" t="s">
        <v>427</v>
      </c>
      <c r="C184" t="s">
        <v>36</v>
      </c>
      <c r="D184" t="s">
        <v>52</v>
      </c>
      <c r="E184" t="s">
        <v>53</v>
      </c>
      <c r="F184" t="s">
        <v>16</v>
      </c>
      <c r="G184" t="s">
        <v>16</v>
      </c>
      <c r="H184">
        <v>330</v>
      </c>
      <c r="I184">
        <v>165</v>
      </c>
      <c r="J184" t="s">
        <v>16</v>
      </c>
      <c r="K184">
        <v>325</v>
      </c>
      <c r="L184" t="s">
        <v>54</v>
      </c>
    </row>
    <row r="185" spans="1:12">
      <c r="A185" t="s">
        <v>428</v>
      </c>
      <c r="B185" t="s">
        <v>429</v>
      </c>
      <c r="C185" t="s">
        <v>13</v>
      </c>
      <c r="D185" t="s">
        <v>20</v>
      </c>
      <c r="E185" t="s">
        <v>21</v>
      </c>
      <c r="F185">
        <v>192</v>
      </c>
      <c r="G185" t="s">
        <v>22</v>
      </c>
      <c r="H185">
        <v>168</v>
      </c>
      <c r="I185" t="s">
        <v>16</v>
      </c>
      <c r="J185" t="s">
        <v>16</v>
      </c>
      <c r="K185">
        <v>507</v>
      </c>
      <c r="L185" t="s">
        <v>430</v>
      </c>
    </row>
    <row r="186" spans="1:12">
      <c r="A186" t="s">
        <v>431</v>
      </c>
      <c r="B186" t="s">
        <v>432</v>
      </c>
      <c r="C186" t="s">
        <v>13</v>
      </c>
      <c r="D186" t="s">
        <v>433</v>
      </c>
      <c r="E186" t="s">
        <v>434</v>
      </c>
      <c r="F186" t="s">
        <v>16</v>
      </c>
      <c r="G186" t="s">
        <v>16</v>
      </c>
      <c r="H186">
        <v>360</v>
      </c>
      <c r="I186">
        <v>240</v>
      </c>
      <c r="J186" t="s">
        <v>16</v>
      </c>
      <c r="K186">
        <v>675</v>
      </c>
      <c r="L186" t="s">
        <v>435</v>
      </c>
    </row>
    <row r="187" spans="1:12">
      <c r="A187" t="s">
        <v>436</v>
      </c>
      <c r="B187" t="s">
        <v>437</v>
      </c>
      <c r="C187" t="s">
        <v>36</v>
      </c>
      <c r="D187" t="s">
        <v>37</v>
      </c>
      <c r="E187" t="s">
        <v>38</v>
      </c>
      <c r="F187" t="s">
        <v>16</v>
      </c>
      <c r="G187" t="s">
        <v>16</v>
      </c>
      <c r="H187" t="s">
        <v>16</v>
      </c>
      <c r="I187" t="s">
        <v>16</v>
      </c>
      <c r="J187">
        <v>277.2</v>
      </c>
      <c r="K187">
        <v>325</v>
      </c>
      <c r="L187" t="s">
        <v>39</v>
      </c>
    </row>
    <row r="188" spans="1:12">
      <c r="A188" t="s">
        <v>438</v>
      </c>
      <c r="B188" t="s">
        <v>439</v>
      </c>
      <c r="C188" t="s">
        <v>36</v>
      </c>
      <c r="D188" t="s">
        <v>80</v>
      </c>
      <c r="E188" t="s">
        <v>81</v>
      </c>
      <c r="F188">
        <v>165</v>
      </c>
      <c r="G188" t="s">
        <v>22</v>
      </c>
      <c r="H188">
        <v>148.5</v>
      </c>
      <c r="I188" t="s">
        <v>16</v>
      </c>
      <c r="J188" t="s">
        <v>16</v>
      </c>
      <c r="K188">
        <v>325</v>
      </c>
      <c r="L188" t="s">
        <v>82</v>
      </c>
    </row>
    <row r="189" spans="1:12">
      <c r="A189" t="s">
        <v>440</v>
      </c>
      <c r="B189" t="s">
        <v>441</v>
      </c>
      <c r="C189" t="s">
        <v>36</v>
      </c>
      <c r="D189" t="s">
        <v>42</v>
      </c>
      <c r="E189" t="s">
        <v>43</v>
      </c>
      <c r="F189" t="s">
        <v>16</v>
      </c>
      <c r="G189" t="s">
        <v>16</v>
      </c>
      <c r="H189" t="s">
        <v>16</v>
      </c>
      <c r="I189" t="s">
        <v>16</v>
      </c>
      <c r="J189">
        <v>112.2</v>
      </c>
      <c r="K189">
        <v>325</v>
      </c>
      <c r="L189" t="s">
        <v>39</v>
      </c>
    </row>
    <row r="190" spans="1:12">
      <c r="A190" t="s">
        <v>442</v>
      </c>
      <c r="B190" t="s">
        <v>443</v>
      </c>
      <c r="C190" t="s">
        <v>36</v>
      </c>
      <c r="D190" t="s">
        <v>85</v>
      </c>
      <c r="E190" t="s">
        <v>86</v>
      </c>
      <c r="F190">
        <v>99</v>
      </c>
      <c r="G190" t="s">
        <v>22</v>
      </c>
      <c r="H190">
        <v>49.5</v>
      </c>
      <c r="I190" t="s">
        <v>16</v>
      </c>
      <c r="J190" t="s">
        <v>16</v>
      </c>
      <c r="K190">
        <v>162.5</v>
      </c>
      <c r="L190" t="s">
        <v>82</v>
      </c>
    </row>
    <row r="191" spans="1:12">
      <c r="A191" t="s">
        <v>444</v>
      </c>
      <c r="B191" t="s">
        <v>445</v>
      </c>
      <c r="C191" t="s">
        <v>36</v>
      </c>
      <c r="D191" t="s">
        <v>42</v>
      </c>
      <c r="E191" t="s">
        <v>43</v>
      </c>
      <c r="F191" t="s">
        <v>16</v>
      </c>
      <c r="G191" t="s">
        <v>16</v>
      </c>
      <c r="H191" t="s">
        <v>16</v>
      </c>
      <c r="I191" t="s">
        <v>16</v>
      </c>
      <c r="J191">
        <v>112.2</v>
      </c>
      <c r="K191">
        <v>325</v>
      </c>
      <c r="L191" t="s">
        <v>39</v>
      </c>
    </row>
    <row r="192" spans="1:12">
      <c r="A192" t="s">
        <v>446</v>
      </c>
      <c r="B192" t="s">
        <v>447</v>
      </c>
      <c r="C192" t="s">
        <v>36</v>
      </c>
      <c r="D192" t="s">
        <v>80</v>
      </c>
      <c r="E192" t="s">
        <v>81</v>
      </c>
      <c r="F192">
        <v>165</v>
      </c>
      <c r="G192" t="s">
        <v>22</v>
      </c>
      <c r="H192">
        <v>148.5</v>
      </c>
      <c r="I192" t="s">
        <v>16</v>
      </c>
      <c r="J192" t="s">
        <v>16</v>
      </c>
      <c r="K192">
        <v>325</v>
      </c>
      <c r="L192" t="s">
        <v>82</v>
      </c>
    </row>
    <row r="193" spans="1:12">
      <c r="A193" t="s">
        <v>448</v>
      </c>
      <c r="B193" t="s">
        <v>449</v>
      </c>
      <c r="C193" t="s">
        <v>36</v>
      </c>
      <c r="D193" t="s">
        <v>85</v>
      </c>
      <c r="E193" t="s">
        <v>86</v>
      </c>
      <c r="F193">
        <v>99</v>
      </c>
      <c r="G193" t="s">
        <v>22</v>
      </c>
      <c r="H193">
        <v>49.5</v>
      </c>
      <c r="I193" t="s">
        <v>16</v>
      </c>
      <c r="J193" t="s">
        <v>16</v>
      </c>
      <c r="K193">
        <v>162.5</v>
      </c>
      <c r="L193" t="s">
        <v>82</v>
      </c>
    </row>
    <row r="194" spans="1:12">
      <c r="A194" t="s">
        <v>450</v>
      </c>
      <c r="B194" t="s">
        <v>451</v>
      </c>
      <c r="C194" t="s">
        <v>36</v>
      </c>
      <c r="D194" t="s">
        <v>48</v>
      </c>
      <c r="E194" t="s">
        <v>49</v>
      </c>
      <c r="F194" t="s">
        <v>16</v>
      </c>
      <c r="G194" t="s">
        <v>16</v>
      </c>
      <c r="H194" t="s">
        <v>16</v>
      </c>
      <c r="I194" t="s">
        <v>16</v>
      </c>
      <c r="J194">
        <v>158.4</v>
      </c>
      <c r="K194">
        <v>325</v>
      </c>
      <c r="L194" t="s">
        <v>39</v>
      </c>
    </row>
    <row r="195" spans="1:12">
      <c r="A195" t="s">
        <v>452</v>
      </c>
      <c r="B195" t="s">
        <v>453</v>
      </c>
      <c r="C195" t="s">
        <v>36</v>
      </c>
      <c r="D195" t="s">
        <v>85</v>
      </c>
      <c r="E195" t="s">
        <v>86</v>
      </c>
      <c r="F195">
        <v>99</v>
      </c>
      <c r="G195" t="s">
        <v>22</v>
      </c>
      <c r="H195">
        <v>49.5</v>
      </c>
      <c r="I195" t="s">
        <v>16</v>
      </c>
      <c r="J195" t="s">
        <v>16</v>
      </c>
      <c r="K195">
        <v>162.5</v>
      </c>
      <c r="L195" t="s">
        <v>82</v>
      </c>
    </row>
    <row r="196" spans="1:12">
      <c r="A196" t="s">
        <v>454</v>
      </c>
      <c r="B196" t="s">
        <v>455</v>
      </c>
      <c r="C196" t="s">
        <v>36</v>
      </c>
      <c r="D196" t="s">
        <v>97</v>
      </c>
      <c r="E196" t="s">
        <v>98</v>
      </c>
      <c r="F196" t="s">
        <v>99</v>
      </c>
      <c r="G196" t="s">
        <v>22</v>
      </c>
      <c r="H196">
        <v>115.5</v>
      </c>
      <c r="I196" t="s">
        <v>16</v>
      </c>
      <c r="J196" t="s">
        <v>16</v>
      </c>
      <c r="K196">
        <v>243.75</v>
      </c>
      <c r="L196" t="s">
        <v>82</v>
      </c>
    </row>
    <row r="197" spans="1:12">
      <c r="A197" t="s">
        <v>456</v>
      </c>
      <c r="B197" t="s">
        <v>457</v>
      </c>
      <c r="C197" t="s">
        <v>36</v>
      </c>
      <c r="D197" t="s">
        <v>97</v>
      </c>
      <c r="E197" t="s">
        <v>98</v>
      </c>
      <c r="F197" t="s">
        <v>99</v>
      </c>
      <c r="G197" t="s">
        <v>22</v>
      </c>
      <c r="H197">
        <v>115.5</v>
      </c>
      <c r="I197" t="s">
        <v>16</v>
      </c>
      <c r="J197" t="s">
        <v>16</v>
      </c>
      <c r="K197">
        <v>243.75</v>
      </c>
      <c r="L197" t="s">
        <v>82</v>
      </c>
    </row>
    <row r="198" spans="1:12">
      <c r="A198" t="s">
        <v>458</v>
      </c>
      <c r="B198" t="s">
        <v>459</v>
      </c>
      <c r="C198" t="s">
        <v>36</v>
      </c>
      <c r="D198" t="s">
        <v>52</v>
      </c>
      <c r="E198" t="s">
        <v>53</v>
      </c>
      <c r="F198" t="s">
        <v>16</v>
      </c>
      <c r="G198" t="s">
        <v>16</v>
      </c>
      <c r="H198">
        <v>330</v>
      </c>
      <c r="I198">
        <v>165</v>
      </c>
      <c r="J198" t="s">
        <v>16</v>
      </c>
      <c r="K198">
        <v>325</v>
      </c>
      <c r="L198" t="s">
        <v>54</v>
      </c>
    </row>
    <row r="199" spans="1:12">
      <c r="A199" t="s">
        <v>460</v>
      </c>
      <c r="B199" t="s">
        <v>461</v>
      </c>
      <c r="C199" t="s">
        <v>36</v>
      </c>
      <c r="D199" t="s">
        <v>97</v>
      </c>
      <c r="E199" t="s">
        <v>98</v>
      </c>
      <c r="F199" t="s">
        <v>99</v>
      </c>
      <c r="G199" t="s">
        <v>22</v>
      </c>
      <c r="H199">
        <v>115.5</v>
      </c>
      <c r="I199" t="s">
        <v>16</v>
      </c>
      <c r="J199" t="s">
        <v>16</v>
      </c>
      <c r="K199">
        <v>243.75</v>
      </c>
      <c r="L199" t="s">
        <v>82</v>
      </c>
    </row>
    <row r="200" spans="1:12">
      <c r="A200" t="s">
        <v>462</v>
      </c>
      <c r="B200" t="s">
        <v>463</v>
      </c>
      <c r="C200" t="s">
        <v>36</v>
      </c>
      <c r="D200" t="s">
        <v>80</v>
      </c>
      <c r="E200" t="s">
        <v>81</v>
      </c>
      <c r="F200">
        <v>165</v>
      </c>
      <c r="G200" t="s">
        <v>22</v>
      </c>
      <c r="H200">
        <v>148.5</v>
      </c>
      <c r="I200" t="s">
        <v>16</v>
      </c>
      <c r="J200" t="s">
        <v>16</v>
      </c>
      <c r="K200">
        <v>325</v>
      </c>
      <c r="L200" t="s">
        <v>82</v>
      </c>
    </row>
    <row r="201" spans="1:12">
      <c r="A201" t="s">
        <v>464</v>
      </c>
      <c r="B201" t="s">
        <v>465</v>
      </c>
      <c r="C201" t="s">
        <v>13</v>
      </c>
      <c r="D201" t="s">
        <v>20</v>
      </c>
      <c r="E201" t="s">
        <v>126</v>
      </c>
      <c r="F201">
        <v>247</v>
      </c>
      <c r="G201">
        <v>458</v>
      </c>
      <c r="H201">
        <v>216</v>
      </c>
      <c r="I201" t="s">
        <v>16</v>
      </c>
      <c r="J201" t="s">
        <v>16</v>
      </c>
      <c r="K201">
        <v>675</v>
      </c>
      <c r="L201" t="s">
        <v>466</v>
      </c>
    </row>
    <row r="202" spans="1:12">
      <c r="A202" t="s">
        <v>467</v>
      </c>
      <c r="B202" t="s">
        <v>468</v>
      </c>
      <c r="C202" t="s">
        <v>36</v>
      </c>
      <c r="D202" t="s">
        <v>57</v>
      </c>
      <c r="E202" t="s">
        <v>58</v>
      </c>
      <c r="F202" t="s">
        <v>16</v>
      </c>
      <c r="G202" t="s">
        <v>16</v>
      </c>
      <c r="H202" t="s">
        <v>16</v>
      </c>
      <c r="I202" t="s">
        <v>16</v>
      </c>
      <c r="J202">
        <v>207.9</v>
      </c>
      <c r="K202">
        <v>325</v>
      </c>
      <c r="L202" t="s">
        <v>59</v>
      </c>
    </row>
    <row r="203" spans="1:12">
      <c r="A203" t="s">
        <v>469</v>
      </c>
      <c r="B203" t="s">
        <v>470</v>
      </c>
      <c r="C203" t="s">
        <v>36</v>
      </c>
      <c r="D203" t="s">
        <v>62</v>
      </c>
      <c r="E203" t="s">
        <v>63</v>
      </c>
      <c r="F203" t="s">
        <v>16</v>
      </c>
      <c r="G203" t="s">
        <v>16</v>
      </c>
      <c r="H203" t="s">
        <v>16</v>
      </c>
      <c r="I203" t="s">
        <v>16</v>
      </c>
      <c r="J203">
        <v>84.15</v>
      </c>
      <c r="K203">
        <v>325</v>
      </c>
      <c r="L203" t="s">
        <v>59</v>
      </c>
    </row>
    <row r="204" spans="1:12">
      <c r="A204" t="s">
        <v>471</v>
      </c>
      <c r="B204" t="s">
        <v>472</v>
      </c>
      <c r="C204" t="s">
        <v>36</v>
      </c>
      <c r="D204" t="s">
        <v>62</v>
      </c>
      <c r="E204" t="s">
        <v>63</v>
      </c>
      <c r="F204" t="s">
        <v>16</v>
      </c>
      <c r="G204" t="s">
        <v>16</v>
      </c>
      <c r="H204" t="s">
        <v>16</v>
      </c>
      <c r="I204" t="s">
        <v>16</v>
      </c>
      <c r="J204">
        <v>84.15</v>
      </c>
      <c r="K204">
        <v>325</v>
      </c>
      <c r="L204" t="s">
        <v>59</v>
      </c>
    </row>
    <row r="205" spans="1:12">
      <c r="A205" t="s">
        <v>473</v>
      </c>
      <c r="B205" t="s">
        <v>474</v>
      </c>
      <c r="C205" t="s">
        <v>36</v>
      </c>
      <c r="D205" t="s">
        <v>52</v>
      </c>
      <c r="E205" t="s">
        <v>68</v>
      </c>
      <c r="F205" t="s">
        <v>16</v>
      </c>
      <c r="G205" t="s">
        <v>16</v>
      </c>
      <c r="H205" t="s">
        <v>16</v>
      </c>
      <c r="I205" t="s">
        <v>16</v>
      </c>
      <c r="J205">
        <v>118.8</v>
      </c>
      <c r="K205">
        <v>325</v>
      </c>
      <c r="L205" t="s">
        <v>59</v>
      </c>
    </row>
    <row r="206" spans="1:12">
      <c r="A206" t="s">
        <v>475</v>
      </c>
      <c r="B206" t="s">
        <v>476</v>
      </c>
      <c r="C206" t="s">
        <v>36</v>
      </c>
      <c r="D206" t="s">
        <v>71</v>
      </c>
      <c r="E206" t="s">
        <v>72</v>
      </c>
      <c r="F206" t="s">
        <v>16</v>
      </c>
      <c r="G206" t="s">
        <v>16</v>
      </c>
      <c r="H206">
        <v>247.5</v>
      </c>
      <c r="I206">
        <v>165</v>
      </c>
      <c r="J206" t="s">
        <v>16</v>
      </c>
      <c r="K206">
        <v>325</v>
      </c>
      <c r="L206" t="s">
        <v>73</v>
      </c>
    </row>
    <row r="207" spans="1:12">
      <c r="A207" t="s">
        <v>477</v>
      </c>
      <c r="B207" t="s">
        <v>478</v>
      </c>
      <c r="C207" t="s">
        <v>36</v>
      </c>
      <c r="D207" t="s">
        <v>37</v>
      </c>
      <c r="E207" t="s">
        <v>38</v>
      </c>
      <c r="F207" t="s">
        <v>16</v>
      </c>
      <c r="G207" t="s">
        <v>16</v>
      </c>
      <c r="H207" t="s">
        <v>16</v>
      </c>
      <c r="I207" t="s">
        <v>16</v>
      </c>
      <c r="J207">
        <v>277.2</v>
      </c>
      <c r="K207">
        <v>325</v>
      </c>
      <c r="L207" t="s">
        <v>39</v>
      </c>
    </row>
    <row r="208" spans="1:12">
      <c r="A208" t="s">
        <v>479</v>
      </c>
      <c r="B208" t="s">
        <v>480</v>
      </c>
      <c r="C208" t="s">
        <v>36</v>
      </c>
      <c r="D208" t="s">
        <v>80</v>
      </c>
      <c r="E208" t="s">
        <v>81</v>
      </c>
      <c r="F208">
        <v>165</v>
      </c>
      <c r="G208" t="s">
        <v>22</v>
      </c>
      <c r="H208">
        <v>148.5</v>
      </c>
      <c r="I208" t="s">
        <v>16</v>
      </c>
      <c r="J208" t="s">
        <v>16</v>
      </c>
      <c r="K208">
        <v>325</v>
      </c>
      <c r="L208" t="s">
        <v>82</v>
      </c>
    </row>
    <row r="209" spans="1:12">
      <c r="A209" t="s">
        <v>481</v>
      </c>
      <c r="B209" t="s">
        <v>482</v>
      </c>
      <c r="C209" t="s">
        <v>36</v>
      </c>
      <c r="D209" t="s">
        <v>42</v>
      </c>
      <c r="E209" t="s">
        <v>43</v>
      </c>
      <c r="F209" t="s">
        <v>16</v>
      </c>
      <c r="G209" t="s">
        <v>16</v>
      </c>
      <c r="H209" t="s">
        <v>16</v>
      </c>
      <c r="I209" t="s">
        <v>16</v>
      </c>
      <c r="J209">
        <v>112.2</v>
      </c>
      <c r="K209">
        <v>325</v>
      </c>
      <c r="L209" t="s">
        <v>39</v>
      </c>
    </row>
    <row r="210" spans="1:12">
      <c r="A210" t="s">
        <v>483</v>
      </c>
      <c r="B210" t="s">
        <v>484</v>
      </c>
      <c r="C210" t="s">
        <v>36</v>
      </c>
      <c r="D210" t="s">
        <v>85</v>
      </c>
      <c r="E210" t="s">
        <v>86</v>
      </c>
      <c r="F210">
        <v>99</v>
      </c>
      <c r="G210" t="s">
        <v>22</v>
      </c>
      <c r="H210">
        <v>49.5</v>
      </c>
      <c r="I210" t="s">
        <v>16</v>
      </c>
      <c r="J210" t="s">
        <v>16</v>
      </c>
      <c r="K210">
        <v>162.5</v>
      </c>
      <c r="L210" t="s">
        <v>82</v>
      </c>
    </row>
    <row r="211" spans="1:12">
      <c r="A211" t="s">
        <v>485</v>
      </c>
      <c r="B211" t="s">
        <v>486</v>
      </c>
      <c r="C211" t="s">
        <v>36</v>
      </c>
      <c r="D211" t="s">
        <v>42</v>
      </c>
      <c r="E211" t="s">
        <v>43</v>
      </c>
      <c r="F211" t="s">
        <v>16</v>
      </c>
      <c r="G211" t="s">
        <v>16</v>
      </c>
      <c r="H211" t="s">
        <v>16</v>
      </c>
      <c r="I211" t="s">
        <v>16</v>
      </c>
      <c r="J211">
        <v>112.2</v>
      </c>
      <c r="K211">
        <v>325</v>
      </c>
      <c r="L211" t="s">
        <v>39</v>
      </c>
    </row>
    <row r="212" spans="1:12">
      <c r="A212" t="s">
        <v>487</v>
      </c>
      <c r="B212" t="s">
        <v>488</v>
      </c>
      <c r="C212" t="s">
        <v>36</v>
      </c>
      <c r="D212" t="s">
        <v>80</v>
      </c>
      <c r="E212" t="s">
        <v>81</v>
      </c>
      <c r="F212">
        <v>165</v>
      </c>
      <c r="G212" t="s">
        <v>22</v>
      </c>
      <c r="H212">
        <v>148.5</v>
      </c>
      <c r="I212" t="s">
        <v>16</v>
      </c>
      <c r="J212" t="s">
        <v>16</v>
      </c>
      <c r="K212">
        <v>325</v>
      </c>
      <c r="L212" t="s">
        <v>82</v>
      </c>
    </row>
    <row r="213" spans="1:12">
      <c r="A213" t="s">
        <v>489</v>
      </c>
      <c r="B213" t="s">
        <v>490</v>
      </c>
      <c r="C213" t="s">
        <v>36</v>
      </c>
      <c r="D213" t="s">
        <v>85</v>
      </c>
      <c r="E213" t="s">
        <v>86</v>
      </c>
      <c r="F213">
        <v>99</v>
      </c>
      <c r="G213" t="s">
        <v>22</v>
      </c>
      <c r="H213">
        <v>49.5</v>
      </c>
      <c r="I213" t="s">
        <v>16</v>
      </c>
      <c r="J213" t="s">
        <v>16</v>
      </c>
      <c r="K213">
        <v>162.5</v>
      </c>
      <c r="L213" t="s">
        <v>82</v>
      </c>
    </row>
    <row r="214" spans="1:12">
      <c r="A214" t="s">
        <v>491</v>
      </c>
      <c r="B214" t="s">
        <v>492</v>
      </c>
      <c r="C214" t="s">
        <v>36</v>
      </c>
      <c r="D214" t="s">
        <v>48</v>
      </c>
      <c r="E214" t="s">
        <v>49</v>
      </c>
      <c r="F214" t="s">
        <v>16</v>
      </c>
      <c r="G214" t="s">
        <v>16</v>
      </c>
      <c r="H214" t="s">
        <v>16</v>
      </c>
      <c r="I214" t="s">
        <v>16</v>
      </c>
      <c r="J214">
        <v>158.4</v>
      </c>
      <c r="K214">
        <v>325</v>
      </c>
      <c r="L214" t="s">
        <v>39</v>
      </c>
    </row>
    <row r="215" spans="1:12">
      <c r="A215" t="s">
        <v>493</v>
      </c>
      <c r="B215" t="s">
        <v>494</v>
      </c>
      <c r="C215" t="s">
        <v>36</v>
      </c>
      <c r="D215" t="s">
        <v>85</v>
      </c>
      <c r="E215" t="s">
        <v>86</v>
      </c>
      <c r="F215">
        <v>99</v>
      </c>
      <c r="G215" t="s">
        <v>22</v>
      </c>
      <c r="H215">
        <v>49.5</v>
      </c>
      <c r="I215" t="s">
        <v>16</v>
      </c>
      <c r="J215" t="s">
        <v>16</v>
      </c>
      <c r="K215">
        <v>162.5</v>
      </c>
      <c r="L215" t="s">
        <v>82</v>
      </c>
    </row>
    <row r="216" spans="1:12">
      <c r="A216" t="s">
        <v>495</v>
      </c>
      <c r="B216" t="s">
        <v>496</v>
      </c>
      <c r="C216" t="s">
        <v>36</v>
      </c>
      <c r="D216" t="s">
        <v>97</v>
      </c>
      <c r="E216" t="s">
        <v>98</v>
      </c>
      <c r="F216" t="s">
        <v>99</v>
      </c>
      <c r="G216" t="s">
        <v>22</v>
      </c>
      <c r="H216">
        <v>115.5</v>
      </c>
      <c r="I216" t="s">
        <v>16</v>
      </c>
      <c r="J216" t="s">
        <v>16</v>
      </c>
      <c r="K216">
        <v>243.75</v>
      </c>
      <c r="L216" t="s">
        <v>82</v>
      </c>
    </row>
    <row r="217" spans="1:12">
      <c r="A217" t="s">
        <v>497</v>
      </c>
      <c r="B217" t="s">
        <v>498</v>
      </c>
      <c r="C217" t="s">
        <v>36</v>
      </c>
      <c r="D217" t="s">
        <v>97</v>
      </c>
      <c r="E217" t="s">
        <v>98</v>
      </c>
      <c r="F217" t="s">
        <v>99</v>
      </c>
      <c r="G217" t="s">
        <v>22</v>
      </c>
      <c r="H217">
        <v>115.5</v>
      </c>
      <c r="I217" t="s">
        <v>16</v>
      </c>
      <c r="J217" t="s">
        <v>16</v>
      </c>
      <c r="K217">
        <v>243.75</v>
      </c>
      <c r="L217" t="s">
        <v>82</v>
      </c>
    </row>
    <row r="218" spans="1:12">
      <c r="A218" t="s">
        <v>499</v>
      </c>
      <c r="B218" t="s">
        <v>500</v>
      </c>
      <c r="C218" t="s">
        <v>36</v>
      </c>
      <c r="D218" t="s">
        <v>52</v>
      </c>
      <c r="E218" t="s">
        <v>53</v>
      </c>
      <c r="F218" t="s">
        <v>16</v>
      </c>
      <c r="G218" t="s">
        <v>16</v>
      </c>
      <c r="H218">
        <v>330</v>
      </c>
      <c r="I218">
        <v>165</v>
      </c>
      <c r="J218" t="s">
        <v>16</v>
      </c>
      <c r="K218">
        <v>325</v>
      </c>
      <c r="L218" t="s">
        <v>54</v>
      </c>
    </row>
    <row r="219" spans="1:12">
      <c r="A219" t="s">
        <v>501</v>
      </c>
      <c r="B219" t="s">
        <v>502</v>
      </c>
      <c r="C219" t="s">
        <v>36</v>
      </c>
      <c r="D219" t="s">
        <v>97</v>
      </c>
      <c r="E219" t="s">
        <v>98</v>
      </c>
      <c r="F219" t="s">
        <v>99</v>
      </c>
      <c r="G219" t="s">
        <v>22</v>
      </c>
      <c r="H219">
        <v>115.5</v>
      </c>
      <c r="I219" t="s">
        <v>16</v>
      </c>
      <c r="J219" t="s">
        <v>16</v>
      </c>
      <c r="K219">
        <v>243.75</v>
      </c>
      <c r="L219" t="s">
        <v>82</v>
      </c>
    </row>
    <row r="220" spans="1:12">
      <c r="A220" t="s">
        <v>503</v>
      </c>
      <c r="B220" t="s">
        <v>504</v>
      </c>
      <c r="C220" t="s">
        <v>36</v>
      </c>
      <c r="D220" t="s">
        <v>80</v>
      </c>
      <c r="E220" t="s">
        <v>81</v>
      </c>
      <c r="F220">
        <v>165</v>
      </c>
      <c r="G220" t="s">
        <v>22</v>
      </c>
      <c r="H220">
        <v>148.5</v>
      </c>
      <c r="I220" t="s">
        <v>16</v>
      </c>
      <c r="J220" t="s">
        <v>16</v>
      </c>
      <c r="K220">
        <v>325</v>
      </c>
      <c r="L220" t="s">
        <v>82</v>
      </c>
    </row>
    <row r="221" spans="1:12">
      <c r="A221" t="s">
        <v>505</v>
      </c>
      <c r="B221" t="s">
        <v>506</v>
      </c>
      <c r="C221" t="s">
        <v>13</v>
      </c>
      <c r="D221" t="s">
        <v>20</v>
      </c>
      <c r="E221" t="s">
        <v>126</v>
      </c>
      <c r="F221">
        <v>247</v>
      </c>
      <c r="G221">
        <v>458</v>
      </c>
      <c r="H221">
        <v>216</v>
      </c>
      <c r="I221" t="s">
        <v>16</v>
      </c>
      <c r="J221" t="s">
        <v>16</v>
      </c>
      <c r="K221">
        <v>675</v>
      </c>
      <c r="L221" t="s">
        <v>507</v>
      </c>
    </row>
    <row r="222" spans="1:12">
      <c r="A222" t="s">
        <v>508</v>
      </c>
      <c r="B222" t="s">
        <v>509</v>
      </c>
      <c r="C222" t="s">
        <v>13</v>
      </c>
      <c r="D222" t="s">
        <v>20</v>
      </c>
      <c r="E222" t="s">
        <v>21</v>
      </c>
      <c r="F222">
        <v>240</v>
      </c>
      <c r="G222" t="s">
        <v>22</v>
      </c>
      <c r="H222">
        <v>216</v>
      </c>
      <c r="I222" t="s">
        <v>16</v>
      </c>
      <c r="J222" t="s">
        <v>16</v>
      </c>
      <c r="K222">
        <v>675</v>
      </c>
      <c r="L222" t="s">
        <v>510</v>
      </c>
    </row>
    <row r="223" spans="1:12">
      <c r="A223" t="s">
        <v>511</v>
      </c>
      <c r="B223" t="s">
        <v>512</v>
      </c>
      <c r="C223" t="s">
        <v>13</v>
      </c>
      <c r="D223" t="s">
        <v>20</v>
      </c>
      <c r="E223" t="s">
        <v>21</v>
      </c>
      <c r="F223">
        <v>192</v>
      </c>
      <c r="G223" t="s">
        <v>22</v>
      </c>
      <c r="H223">
        <v>168</v>
      </c>
      <c r="I223" t="s">
        <v>16</v>
      </c>
      <c r="J223" t="s">
        <v>16</v>
      </c>
      <c r="K223">
        <v>507</v>
      </c>
      <c r="L223" t="s">
        <v>513</v>
      </c>
    </row>
    <row r="224" spans="1:12">
      <c r="A224" t="s">
        <v>514</v>
      </c>
      <c r="B224" t="s">
        <v>515</v>
      </c>
      <c r="C224" t="s">
        <v>13</v>
      </c>
      <c r="D224" t="s">
        <v>20</v>
      </c>
      <c r="E224" t="s">
        <v>21</v>
      </c>
      <c r="F224">
        <v>144</v>
      </c>
      <c r="G224" t="s">
        <v>22</v>
      </c>
      <c r="H224">
        <v>72</v>
      </c>
      <c r="I224" t="s">
        <v>16</v>
      </c>
      <c r="J224" t="s">
        <v>16</v>
      </c>
      <c r="K224">
        <v>338</v>
      </c>
      <c r="L224" t="s">
        <v>516</v>
      </c>
    </row>
  </sheetData>
  <pageMargins left="0.7" right="0.7" top="0.75" bottom="0.75" header="0.3" footer="0.3"/>
  <pageSetup orientation="portrait" horizontalDpi="30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A207-6AE7-4003-87BF-0F522E63B18E}">
  <dimension ref="A1:L35"/>
  <sheetViews>
    <sheetView workbookViewId="0">
      <selection activeCell="B25" sqref="B25"/>
    </sheetView>
  </sheetViews>
  <sheetFormatPr defaultRowHeight="14.25"/>
  <cols>
    <col min="1" max="1" width="21" bestFit="1" customWidth="1"/>
    <col min="2" max="2" width="51.375" customWidth="1"/>
    <col min="3" max="3" width="22.5" bestFit="1" customWidth="1"/>
    <col min="4" max="4" width="15" bestFit="1" customWidth="1"/>
    <col min="5" max="5" width="13.625" bestFit="1" customWidth="1"/>
    <col min="6" max="6" width="20.5" bestFit="1" customWidth="1"/>
    <col min="7" max="7" width="18.25" customWidth="1"/>
    <col min="8" max="8" width="11.125" customWidth="1"/>
    <col min="9" max="9" width="12.625" customWidth="1"/>
    <col min="10" max="10" width="11.625" customWidth="1"/>
    <col min="11" max="11" width="17.125" customWidth="1"/>
    <col min="12" max="12" width="217.25" bestFit="1" customWidth="1"/>
  </cols>
  <sheetData>
    <row r="1" spans="1:12">
      <c r="B1" t="s">
        <v>517</v>
      </c>
      <c r="C1" t="s">
        <v>538</v>
      </c>
      <c r="D1" t="s">
        <v>546</v>
      </c>
      <c r="E1" t="s">
        <v>2</v>
      </c>
      <c r="F1" t="s">
        <v>4</v>
      </c>
      <c r="G1" t="s">
        <v>5</v>
      </c>
      <c r="H1" t="s">
        <v>6</v>
      </c>
      <c r="I1" t="s">
        <v>7</v>
      </c>
      <c r="J1" t="s">
        <v>8</v>
      </c>
      <c r="K1" t="s">
        <v>9</v>
      </c>
      <c r="L1" t="s">
        <v>10</v>
      </c>
    </row>
    <row r="2" spans="1:12">
      <c r="A2" t="s">
        <v>11</v>
      </c>
      <c r="B2" t="s">
        <v>518</v>
      </c>
      <c r="C2" t="s">
        <v>539</v>
      </c>
      <c r="E2" t="s">
        <v>14</v>
      </c>
      <c r="F2" t="s">
        <v>16</v>
      </c>
      <c r="G2" t="s">
        <v>16</v>
      </c>
      <c r="H2" t="s">
        <v>16</v>
      </c>
      <c r="I2" t="s">
        <v>16</v>
      </c>
      <c r="J2">
        <v>302.39999999999998</v>
      </c>
      <c r="K2">
        <v>675</v>
      </c>
      <c r="L2" t="s">
        <v>17</v>
      </c>
    </row>
    <row r="3" spans="1:12">
      <c r="A3" t="s">
        <v>18</v>
      </c>
      <c r="B3" t="s">
        <v>519</v>
      </c>
      <c r="C3" s="1" t="s">
        <v>460</v>
      </c>
      <c r="E3" t="s">
        <v>20</v>
      </c>
      <c r="F3">
        <v>192</v>
      </c>
      <c r="G3" t="s">
        <v>22</v>
      </c>
      <c r="H3">
        <v>168</v>
      </c>
      <c r="I3" t="s">
        <v>16</v>
      </c>
      <c r="J3" t="s">
        <v>16</v>
      </c>
      <c r="K3">
        <v>507</v>
      </c>
      <c r="L3" t="s">
        <v>23</v>
      </c>
    </row>
    <row r="4" spans="1:12">
      <c r="A4" t="s">
        <v>24</v>
      </c>
      <c r="B4" t="s">
        <v>520</v>
      </c>
      <c r="C4" t="s">
        <v>271</v>
      </c>
      <c r="E4" t="s">
        <v>26</v>
      </c>
      <c r="F4" t="s">
        <v>16</v>
      </c>
      <c r="G4" t="s">
        <v>16</v>
      </c>
      <c r="H4" t="s">
        <v>16</v>
      </c>
      <c r="I4" t="s">
        <v>16</v>
      </c>
      <c r="J4">
        <v>123</v>
      </c>
      <c r="K4">
        <v>675</v>
      </c>
      <c r="L4" t="s">
        <v>27</v>
      </c>
    </row>
    <row r="5" spans="1:12">
      <c r="A5" t="s">
        <v>28</v>
      </c>
      <c r="B5" t="s">
        <v>521</v>
      </c>
      <c r="C5" t="s">
        <v>540</v>
      </c>
      <c r="E5" t="s">
        <v>20</v>
      </c>
      <c r="F5">
        <v>240</v>
      </c>
      <c r="G5" t="s">
        <v>22</v>
      </c>
      <c r="H5">
        <v>216</v>
      </c>
      <c r="I5" t="s">
        <v>16</v>
      </c>
      <c r="J5" t="s">
        <v>16</v>
      </c>
      <c r="K5">
        <v>675</v>
      </c>
      <c r="L5" t="s">
        <v>30</v>
      </c>
    </row>
    <row r="6" spans="1:12">
      <c r="A6" t="s">
        <v>31</v>
      </c>
      <c r="B6" t="s">
        <v>522</v>
      </c>
      <c r="C6" s="1" t="s">
        <v>541</v>
      </c>
      <c r="E6" t="s">
        <v>20</v>
      </c>
      <c r="F6">
        <v>240</v>
      </c>
      <c r="G6" t="s">
        <v>22</v>
      </c>
      <c r="H6">
        <v>216</v>
      </c>
      <c r="I6" t="s">
        <v>16</v>
      </c>
      <c r="J6" t="s">
        <v>16</v>
      </c>
      <c r="K6">
        <v>675</v>
      </c>
      <c r="L6" t="s">
        <v>33</v>
      </c>
    </row>
    <row r="7" spans="1:12">
      <c r="A7" t="s">
        <v>74</v>
      </c>
      <c r="B7" t="s">
        <v>523</v>
      </c>
      <c r="C7" t="s">
        <v>225</v>
      </c>
      <c r="E7" t="s">
        <v>76</v>
      </c>
      <c r="F7" t="s">
        <v>16</v>
      </c>
      <c r="G7" t="s">
        <v>16</v>
      </c>
      <c r="H7" t="s">
        <v>16</v>
      </c>
      <c r="I7" t="s">
        <v>16</v>
      </c>
      <c r="J7">
        <v>122.4</v>
      </c>
      <c r="K7">
        <v>675</v>
      </c>
      <c r="L7" t="s">
        <v>77</v>
      </c>
    </row>
    <row r="8" spans="1:12">
      <c r="A8" t="s">
        <v>245</v>
      </c>
      <c r="B8" t="s">
        <v>524</v>
      </c>
      <c r="C8" t="s">
        <v>542</v>
      </c>
      <c r="E8" t="s">
        <v>247</v>
      </c>
      <c r="F8" t="s">
        <v>16</v>
      </c>
      <c r="G8" t="s">
        <v>16</v>
      </c>
      <c r="H8" t="s">
        <v>16</v>
      </c>
      <c r="I8" t="s">
        <v>16</v>
      </c>
      <c r="J8">
        <v>172.8</v>
      </c>
      <c r="K8">
        <v>675</v>
      </c>
      <c r="L8" t="s">
        <v>248</v>
      </c>
    </row>
    <row r="9" spans="1:12">
      <c r="A9" t="s">
        <v>361</v>
      </c>
      <c r="B9" t="s">
        <v>525</v>
      </c>
      <c r="C9" t="s">
        <v>543</v>
      </c>
      <c r="E9" t="s">
        <v>20</v>
      </c>
      <c r="F9">
        <v>192</v>
      </c>
      <c r="G9" t="s">
        <v>22</v>
      </c>
      <c r="H9">
        <v>168</v>
      </c>
      <c r="I9" t="s">
        <v>16</v>
      </c>
      <c r="J9" t="s">
        <v>16</v>
      </c>
      <c r="K9">
        <v>507</v>
      </c>
      <c r="L9" t="s">
        <v>363</v>
      </c>
    </row>
    <row r="10" spans="1:12">
      <c r="A10" t="s">
        <v>364</v>
      </c>
      <c r="B10" t="s">
        <v>526</v>
      </c>
      <c r="C10" t="s">
        <v>311</v>
      </c>
      <c r="E10" t="s">
        <v>20</v>
      </c>
      <c r="F10">
        <v>240</v>
      </c>
      <c r="G10" t="s">
        <v>22</v>
      </c>
      <c r="H10">
        <v>216</v>
      </c>
      <c r="I10" t="s">
        <v>16</v>
      </c>
      <c r="J10" t="s">
        <v>16</v>
      </c>
      <c r="K10">
        <v>675</v>
      </c>
      <c r="L10" t="s">
        <v>366</v>
      </c>
    </row>
    <row r="11" spans="1:12">
      <c r="A11" t="s">
        <v>367</v>
      </c>
      <c r="B11" t="s">
        <v>527</v>
      </c>
      <c r="C11" s="1" t="s">
        <v>541</v>
      </c>
      <c r="E11" t="s">
        <v>20</v>
      </c>
      <c r="F11" t="s">
        <v>369</v>
      </c>
      <c r="G11" t="s">
        <v>16</v>
      </c>
      <c r="H11">
        <v>168</v>
      </c>
      <c r="I11" t="s">
        <v>16</v>
      </c>
      <c r="J11" t="s">
        <v>16</v>
      </c>
      <c r="K11">
        <v>507</v>
      </c>
      <c r="L11" t="s">
        <v>370</v>
      </c>
    </row>
    <row r="12" spans="1:12">
      <c r="A12" t="s">
        <v>409</v>
      </c>
      <c r="B12" t="s">
        <v>528</v>
      </c>
      <c r="C12" t="s">
        <v>544</v>
      </c>
      <c r="E12" t="s">
        <v>247</v>
      </c>
      <c r="F12" t="s">
        <v>16</v>
      </c>
      <c r="G12" t="s">
        <v>16</v>
      </c>
      <c r="H12" t="s">
        <v>16</v>
      </c>
      <c r="I12" t="s">
        <v>16</v>
      </c>
      <c r="J12">
        <v>230.4</v>
      </c>
      <c r="K12">
        <v>675</v>
      </c>
      <c r="L12" t="s">
        <v>411</v>
      </c>
    </row>
    <row r="13" spans="1:12">
      <c r="A13" t="s">
        <v>412</v>
      </c>
      <c r="B13" t="s">
        <v>529</v>
      </c>
      <c r="C13" t="s">
        <v>545</v>
      </c>
      <c r="E13" t="s">
        <v>14</v>
      </c>
      <c r="F13" t="s">
        <v>16</v>
      </c>
      <c r="G13" t="s">
        <v>16</v>
      </c>
      <c r="H13" t="s">
        <v>16</v>
      </c>
      <c r="I13" t="s">
        <v>16</v>
      </c>
      <c r="J13">
        <v>403.2</v>
      </c>
      <c r="K13">
        <v>675</v>
      </c>
      <c r="L13" t="s">
        <v>414</v>
      </c>
    </row>
    <row r="14" spans="1:12">
      <c r="A14" t="s">
        <v>415</v>
      </c>
      <c r="B14" t="s">
        <v>530</v>
      </c>
      <c r="C14" t="s">
        <v>55</v>
      </c>
      <c r="E14" t="s">
        <v>14</v>
      </c>
      <c r="F14" t="s">
        <v>16</v>
      </c>
      <c r="G14" t="s">
        <v>16</v>
      </c>
      <c r="H14" t="s">
        <v>16</v>
      </c>
      <c r="I14" t="s">
        <v>16</v>
      </c>
      <c r="J14">
        <v>302.39999999999998</v>
      </c>
      <c r="K14">
        <v>675</v>
      </c>
      <c r="L14" t="s">
        <v>417</v>
      </c>
    </row>
    <row r="15" spans="1:12">
      <c r="A15" t="s">
        <v>428</v>
      </c>
      <c r="B15" t="s">
        <v>531</v>
      </c>
      <c r="C15" t="s">
        <v>143</v>
      </c>
      <c r="E15" t="s">
        <v>20</v>
      </c>
      <c r="F15">
        <v>192</v>
      </c>
      <c r="G15" t="s">
        <v>22</v>
      </c>
      <c r="H15">
        <v>168</v>
      </c>
      <c r="I15" t="s">
        <v>16</v>
      </c>
      <c r="J15" t="s">
        <v>16</v>
      </c>
      <c r="K15">
        <v>507</v>
      </c>
      <c r="L15" t="s">
        <v>430</v>
      </c>
    </row>
    <row r="16" spans="1:12">
      <c r="A16" t="s">
        <v>431</v>
      </c>
      <c r="B16" t="s">
        <v>532</v>
      </c>
      <c r="C16" t="s">
        <v>475</v>
      </c>
      <c r="E16" t="s">
        <v>433</v>
      </c>
      <c r="F16" t="s">
        <v>16</v>
      </c>
      <c r="G16" t="s">
        <v>16</v>
      </c>
      <c r="H16">
        <v>360</v>
      </c>
      <c r="I16">
        <v>240</v>
      </c>
      <c r="J16" t="s">
        <v>16</v>
      </c>
      <c r="K16">
        <v>675</v>
      </c>
      <c r="L16" t="s">
        <v>435</v>
      </c>
    </row>
    <row r="17" spans="1:12">
      <c r="A17" t="s">
        <v>464</v>
      </c>
      <c r="B17" t="s">
        <v>533</v>
      </c>
      <c r="C17" t="s">
        <v>371</v>
      </c>
      <c r="E17" t="s">
        <v>20</v>
      </c>
      <c r="F17">
        <v>247</v>
      </c>
      <c r="G17">
        <v>458</v>
      </c>
      <c r="H17">
        <v>216</v>
      </c>
      <c r="I17" t="s">
        <v>16</v>
      </c>
      <c r="J17" t="s">
        <v>16</v>
      </c>
      <c r="K17">
        <v>675</v>
      </c>
      <c r="L17" t="s">
        <v>466</v>
      </c>
    </row>
    <row r="18" spans="1:12">
      <c r="A18" t="s">
        <v>505</v>
      </c>
      <c r="B18" t="s">
        <v>534</v>
      </c>
      <c r="C18" s="1" t="s">
        <v>541</v>
      </c>
      <c r="E18" t="s">
        <v>20</v>
      </c>
      <c r="F18">
        <v>247</v>
      </c>
      <c r="G18">
        <v>458</v>
      </c>
      <c r="H18">
        <v>216</v>
      </c>
      <c r="I18" t="s">
        <v>16</v>
      </c>
      <c r="J18" t="s">
        <v>16</v>
      </c>
      <c r="K18">
        <v>675</v>
      </c>
      <c r="L18" t="s">
        <v>507</v>
      </c>
    </row>
    <row r="19" spans="1:12">
      <c r="A19" t="s">
        <v>508</v>
      </c>
      <c r="B19" t="s">
        <v>536</v>
      </c>
      <c r="C19" s="1" t="s">
        <v>541</v>
      </c>
      <c r="E19" t="s">
        <v>20</v>
      </c>
      <c r="F19">
        <v>240</v>
      </c>
      <c r="G19" t="s">
        <v>22</v>
      </c>
      <c r="H19">
        <v>216</v>
      </c>
      <c r="I19" t="s">
        <v>16</v>
      </c>
      <c r="J19" t="s">
        <v>16</v>
      </c>
      <c r="K19">
        <v>675</v>
      </c>
      <c r="L19" t="s">
        <v>510</v>
      </c>
    </row>
    <row r="20" spans="1:12">
      <c r="A20" t="s">
        <v>511</v>
      </c>
      <c r="B20" t="s">
        <v>535</v>
      </c>
      <c r="C20" t="s">
        <v>287</v>
      </c>
      <c r="E20" t="s">
        <v>20</v>
      </c>
      <c r="F20">
        <v>192</v>
      </c>
      <c r="G20" t="s">
        <v>22</v>
      </c>
      <c r="H20">
        <v>168</v>
      </c>
      <c r="I20" t="s">
        <v>16</v>
      </c>
      <c r="J20" t="s">
        <v>16</v>
      </c>
      <c r="K20">
        <v>507</v>
      </c>
      <c r="L20" t="s">
        <v>513</v>
      </c>
    </row>
    <row r="21" spans="1:12">
      <c r="A21" t="s">
        <v>514</v>
      </c>
      <c r="B21" t="s">
        <v>537</v>
      </c>
      <c r="C21" s="1" t="s">
        <v>541</v>
      </c>
      <c r="E21" t="s">
        <v>20</v>
      </c>
      <c r="F21">
        <v>144</v>
      </c>
      <c r="G21" t="s">
        <v>22</v>
      </c>
      <c r="H21">
        <v>72</v>
      </c>
      <c r="I21" t="s">
        <v>16</v>
      </c>
      <c r="J21" t="s">
        <v>16</v>
      </c>
      <c r="K21">
        <v>338</v>
      </c>
      <c r="L21" t="s">
        <v>516</v>
      </c>
    </row>
    <row r="23" spans="1:12">
      <c r="A23" t="str" cm="1">
        <f t="array" ref="A23:F23">TRANSPOSE(_xlfn._xlws.SORT(_xlfn.UNIQUE(E2:E21)))</f>
        <v>333Sigils</v>
      </c>
      <c r="B23" t="str">
        <v>444Sigils</v>
      </c>
      <c r="C23" t="str">
        <v>499Sigils</v>
      </c>
      <c r="D23" t="str">
        <v>555Sigils</v>
      </c>
      <c r="E23" t="str">
        <v>777Sigils</v>
      </c>
      <c r="F23" t="str">
        <v>899Sigils</v>
      </c>
    </row>
    <row r="24" spans="1:12">
      <c r="A24" t="str" cm="1">
        <f t="array" ref="A24:A25">_xlfn._xlws.FILTER($A$2:$A$21,$E$2:$E$21=A23)</f>
        <v>Flame Monarch's Crown</v>
      </c>
      <c r="B24" t="str" cm="1">
        <f t="array" ref="B24">_xlfn._xlws.FILTER($A$2:$A$21,$E$2:$E$21=B23)</f>
        <v>Conjurer's Gloves</v>
      </c>
      <c r="C24" t="str" cm="1">
        <f t="array" ref="C24">_xlfn._xlws.FILTER($A$2:$A$21,$E$2:$E$21=C23)</f>
        <v>Boots of Dispersion</v>
      </c>
      <c r="D24" t="str" cm="1">
        <f t="array" ref="D24:D26">_xlfn._xlws.FILTER($A$2:$A$21,$E$2:$E$21=D23)</f>
        <v>Areldur's Armor</v>
      </c>
      <c r="E24" t="str" cm="1">
        <f t="array" ref="E24">_xlfn._xlws.FILTER($A$2:$A$21,$E$2:$E$21=E23)</f>
        <v>Shield of Stasis</v>
      </c>
      <c r="F24" t="str" cm="1">
        <f t="array" ref="F24:F35">_xlfn._xlws.FILTER($A$2:$A$21,$E$2:$E$21=F23)</f>
        <v>Baridan's Axe</v>
      </c>
    </row>
    <row r="25" spans="1:12">
      <c r="A25" t="str">
        <v>Paladin's Helmet</v>
      </c>
      <c r="D25" t="str">
        <v>Paladin's Mail</v>
      </c>
      <c r="F25" t="str">
        <v>Breathtaker</v>
      </c>
    </row>
    <row r="26" spans="1:12">
      <c r="D26" t="str">
        <v>Purifier's Cocoon</v>
      </c>
      <c r="F26" t="str">
        <v>Captain Kordan's Saber</v>
      </c>
    </row>
    <row r="27" spans="1:12">
      <c r="F27" t="str">
        <v>Lichslayer</v>
      </c>
    </row>
    <row r="28" spans="1:12">
      <c r="F28" t="str">
        <v>Maul of the Aureal</v>
      </c>
    </row>
    <row r="29" spans="1:12">
      <c r="F29" t="str">
        <v>Mephala's Teacher</v>
      </c>
    </row>
    <row r="30" spans="1:12">
      <c r="F30" t="str">
        <v>Serpentstrike</v>
      </c>
    </row>
    <row r="31" spans="1:12">
      <c r="F31" t="str">
        <v>Spiderfang</v>
      </c>
    </row>
    <row r="32" spans="1:12">
      <c r="F32" t="str">
        <v>Stormkiss</v>
      </c>
    </row>
    <row r="33" spans="6:6">
      <c r="F33" t="str">
        <v>Sunderblade</v>
      </c>
    </row>
    <row r="34" spans="6:6">
      <c r="F34" t="str">
        <v>Thunderfell</v>
      </c>
    </row>
    <row r="35" spans="6:6">
      <c r="F35" t="str">
        <v>Witsplinter</v>
      </c>
    </row>
  </sheetData>
  <pageMargins left="0.7" right="0.7" top="0.75" bottom="0.75" header="0.3" footer="0.3"/>
  <pageSetup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7D145-183F-4237-8303-875105D16784}">
  <dimension ref="A1:O36"/>
  <sheetViews>
    <sheetView workbookViewId="0">
      <selection activeCell="L2" sqref="H1:L1048576"/>
    </sheetView>
  </sheetViews>
  <sheetFormatPr defaultRowHeight="14.25"/>
  <cols>
    <col min="1" max="1" width="21" bestFit="1" customWidth="1"/>
    <col min="2" max="2" width="19.75" customWidth="1"/>
    <col min="3" max="3" width="5.875" customWidth="1"/>
    <col min="4" max="4" width="8.625" customWidth="1"/>
    <col min="5" max="5" width="11.125" hidden="1" customWidth="1"/>
    <col min="6" max="6" width="12.625" hidden="1" customWidth="1"/>
    <col min="7" max="7" width="11.625" hidden="1" customWidth="1"/>
    <col min="8" max="8" width="13.25" style="3" bestFit="1" customWidth="1"/>
    <col min="9" max="9" width="91.75" hidden="1" customWidth="1"/>
    <col min="10" max="10" width="24.875" hidden="1" customWidth="1"/>
    <col min="11" max="11" width="5.875" style="4" hidden="1" customWidth="1"/>
    <col min="12" max="12" width="31.375" bestFit="1" customWidth="1"/>
    <col min="13" max="13" width="4.375" style="4" bestFit="1" customWidth="1"/>
    <col min="14" max="14" width="5.5" bestFit="1" customWidth="1"/>
    <col min="15" max="15" width="102.375" customWidth="1"/>
  </cols>
  <sheetData>
    <row r="1" spans="1:15">
      <c r="B1" s="16" t="s">
        <v>538</v>
      </c>
      <c r="C1" s="16" t="s">
        <v>577</v>
      </c>
      <c r="D1" s="16" t="s">
        <v>692</v>
      </c>
      <c r="E1" s="16" t="s">
        <v>6</v>
      </c>
      <c r="F1" s="16" t="s">
        <v>7</v>
      </c>
      <c r="G1" s="16" t="s">
        <v>8</v>
      </c>
      <c r="H1" s="17" t="s">
        <v>576</v>
      </c>
      <c r="I1" s="16" t="s">
        <v>547</v>
      </c>
      <c r="J1" s="16"/>
      <c r="K1" s="16"/>
      <c r="L1" s="16" t="s">
        <v>752</v>
      </c>
      <c r="M1" s="16"/>
      <c r="N1" s="16"/>
      <c r="O1" s="16" t="s">
        <v>10</v>
      </c>
    </row>
    <row r="2" spans="1:15">
      <c r="B2" s="16"/>
      <c r="C2" s="16"/>
      <c r="D2" s="16"/>
      <c r="E2" s="16"/>
      <c r="F2" s="16"/>
      <c r="G2" s="16"/>
      <c r="H2" s="17"/>
      <c r="I2" t="s">
        <v>750</v>
      </c>
      <c r="J2" t="s">
        <v>609</v>
      </c>
      <c r="K2" s="4" t="s">
        <v>751</v>
      </c>
      <c r="L2" t="s">
        <v>609</v>
      </c>
      <c r="M2" s="4" t="s">
        <v>751</v>
      </c>
      <c r="N2" t="s">
        <v>700</v>
      </c>
      <c r="O2" s="16"/>
    </row>
    <row r="3" spans="1:15">
      <c r="A3" s="10" t="s">
        <v>11</v>
      </c>
      <c r="B3" s="10" t="s">
        <v>539</v>
      </c>
      <c r="C3" s="10" t="s">
        <v>578</v>
      </c>
      <c r="D3" s="10" t="s">
        <v>693</v>
      </c>
      <c r="E3" s="10" t="s">
        <v>16</v>
      </c>
      <c r="F3" s="10" t="s">
        <v>16</v>
      </c>
      <c r="G3" s="13">
        <v>302.39999999999998</v>
      </c>
      <c r="H3" s="12">
        <f>G3/207.9</f>
        <v>1.4545454545454544</v>
      </c>
      <c r="I3" s="2" t="s">
        <v>548</v>
      </c>
      <c r="J3" s="2" t="s">
        <v>581</v>
      </c>
      <c r="K3" s="5" t="s">
        <v>580</v>
      </c>
      <c r="L3" t="s">
        <v>581</v>
      </c>
      <c r="M3" s="2" t="s">
        <v>701</v>
      </c>
      <c r="N3">
        <v>30</v>
      </c>
      <c r="O3" s="11" t="s">
        <v>17</v>
      </c>
    </row>
    <row r="4" spans="1:15">
      <c r="A4" s="10"/>
      <c r="B4" s="10"/>
      <c r="C4" s="10"/>
      <c r="D4" s="10"/>
      <c r="E4" s="10"/>
      <c r="F4" s="10"/>
      <c r="G4" s="13"/>
      <c r="H4" s="12"/>
      <c r="I4" s="2" t="s">
        <v>549</v>
      </c>
      <c r="J4" s="2" t="s">
        <v>582</v>
      </c>
      <c r="K4" s="5" t="s">
        <v>580</v>
      </c>
      <c r="L4" t="s">
        <v>674</v>
      </c>
      <c r="M4" s="2" t="s">
        <v>701</v>
      </c>
      <c r="N4" s="7">
        <v>0.12</v>
      </c>
      <c r="O4" s="11"/>
    </row>
    <row r="5" spans="1:15">
      <c r="A5" s="10"/>
      <c r="B5" s="10"/>
      <c r="C5" s="10"/>
      <c r="D5" s="10"/>
      <c r="E5" s="10"/>
      <c r="F5" s="10"/>
      <c r="G5" s="13"/>
      <c r="H5" s="12"/>
      <c r="I5" s="2" t="s">
        <v>560</v>
      </c>
      <c r="J5" s="2" t="s">
        <v>583</v>
      </c>
      <c r="K5" s="5" t="s">
        <v>580</v>
      </c>
      <c r="L5" s="2" t="s">
        <v>687</v>
      </c>
      <c r="M5" s="2" t="s">
        <v>701</v>
      </c>
      <c r="N5" s="8">
        <v>0.1</v>
      </c>
      <c r="O5" s="11"/>
    </row>
    <row r="6" spans="1:15">
      <c r="A6" s="10"/>
      <c r="B6" s="10"/>
      <c r="C6" s="10"/>
      <c r="D6" s="10"/>
      <c r="E6" s="10"/>
      <c r="F6" s="10"/>
      <c r="G6" s="13"/>
      <c r="H6" s="12"/>
      <c r="I6" s="2" t="s">
        <v>550</v>
      </c>
      <c r="J6" s="2" t="s">
        <v>585</v>
      </c>
      <c r="K6" s="5" t="s">
        <v>586</v>
      </c>
      <c r="L6" t="s">
        <v>677</v>
      </c>
      <c r="M6" s="2" t="s">
        <v>703</v>
      </c>
      <c r="N6" s="7">
        <v>0.2</v>
      </c>
      <c r="O6" s="11"/>
    </row>
    <row r="7" spans="1:15">
      <c r="A7" s="10" t="s">
        <v>24</v>
      </c>
      <c r="B7" s="10" t="s">
        <v>271</v>
      </c>
      <c r="C7" s="10" t="s">
        <v>578</v>
      </c>
      <c r="D7" s="10" t="s">
        <v>694</v>
      </c>
      <c r="E7" s="10" t="s">
        <v>16</v>
      </c>
      <c r="F7" s="10" t="s">
        <v>16</v>
      </c>
      <c r="G7" s="13">
        <v>123</v>
      </c>
      <c r="H7" s="12">
        <f>G7/84.15</f>
        <v>1.4616755793226381</v>
      </c>
      <c r="I7" s="2" t="s">
        <v>551</v>
      </c>
      <c r="J7" s="2" t="s">
        <v>589</v>
      </c>
      <c r="K7" s="5" t="s">
        <v>580</v>
      </c>
      <c r="L7" t="s">
        <v>589</v>
      </c>
      <c r="M7" s="2" t="s">
        <v>701</v>
      </c>
      <c r="N7" s="7">
        <v>0.3</v>
      </c>
      <c r="O7" s="11" t="s">
        <v>27</v>
      </c>
    </row>
    <row r="8" spans="1:15">
      <c r="A8" s="10"/>
      <c r="B8" s="10"/>
      <c r="C8" s="10"/>
      <c r="D8" s="10"/>
      <c r="E8" s="10"/>
      <c r="F8" s="10"/>
      <c r="G8" s="13"/>
      <c r="H8" s="12"/>
      <c r="I8" s="2" t="s">
        <v>552</v>
      </c>
      <c r="J8" s="2" t="s">
        <v>582</v>
      </c>
      <c r="K8" s="5" t="s">
        <v>580</v>
      </c>
      <c r="L8" t="s">
        <v>674</v>
      </c>
      <c r="M8" s="2" t="s">
        <v>701</v>
      </c>
      <c r="N8" s="7">
        <v>0.12</v>
      </c>
      <c r="O8" s="11"/>
    </row>
    <row r="9" spans="1:15">
      <c r="A9" s="10"/>
      <c r="B9" s="10"/>
      <c r="C9" s="10"/>
      <c r="D9" s="10"/>
      <c r="E9" s="10"/>
      <c r="F9" s="10"/>
      <c r="G9" s="13"/>
      <c r="H9" s="12"/>
      <c r="I9" s="2" t="s">
        <v>560</v>
      </c>
      <c r="J9" s="2" t="s">
        <v>583</v>
      </c>
      <c r="K9" s="5" t="s">
        <v>580</v>
      </c>
      <c r="L9" s="2" t="s">
        <v>687</v>
      </c>
      <c r="M9" s="2" t="s">
        <v>701</v>
      </c>
      <c r="N9" s="8">
        <v>0.1</v>
      </c>
      <c r="O9" s="11"/>
    </row>
    <row r="10" spans="1:15">
      <c r="A10" s="10"/>
      <c r="B10" s="10"/>
      <c r="C10" s="10"/>
      <c r="D10" s="10"/>
      <c r="E10" s="10"/>
      <c r="F10" s="10"/>
      <c r="G10" s="13"/>
      <c r="H10" s="12"/>
      <c r="I10" s="2" t="s">
        <v>553</v>
      </c>
      <c r="J10" s="2" t="s">
        <v>594</v>
      </c>
      <c r="K10" s="5" t="s">
        <v>588</v>
      </c>
      <c r="L10" t="s">
        <v>678</v>
      </c>
      <c r="M10" s="2" t="s">
        <v>702</v>
      </c>
      <c r="N10" s="7">
        <v>0.2</v>
      </c>
      <c r="O10" s="11"/>
    </row>
    <row r="11" spans="1:15">
      <c r="A11" s="10"/>
      <c r="B11" s="10"/>
      <c r="C11" s="10"/>
      <c r="D11" s="10"/>
      <c r="E11" s="10"/>
      <c r="F11" s="10"/>
      <c r="G11" s="13"/>
      <c r="H11" s="12"/>
      <c r="I11" s="2" t="s">
        <v>554</v>
      </c>
      <c r="J11" s="2" t="s">
        <v>589</v>
      </c>
      <c r="K11" s="5" t="s">
        <v>590</v>
      </c>
      <c r="L11" t="s">
        <v>589</v>
      </c>
      <c r="M11" s="2" t="s">
        <v>702</v>
      </c>
      <c r="N11" s="7">
        <v>0.15</v>
      </c>
      <c r="O11" s="11"/>
    </row>
    <row r="12" spans="1:15">
      <c r="A12" s="10" t="s">
        <v>74</v>
      </c>
      <c r="B12" s="10" t="s">
        <v>555</v>
      </c>
      <c r="C12" s="10" t="s">
        <v>578</v>
      </c>
      <c r="D12" s="10" t="s">
        <v>695</v>
      </c>
      <c r="E12" s="10" t="s">
        <v>16</v>
      </c>
      <c r="F12" s="10" t="s">
        <v>16</v>
      </c>
      <c r="G12" s="13">
        <v>122.4</v>
      </c>
      <c r="H12" s="12">
        <f>G12/84.15</f>
        <v>1.4545454545454546</v>
      </c>
      <c r="I12" t="s">
        <v>556</v>
      </c>
      <c r="J12" t="s">
        <v>595</v>
      </c>
      <c r="K12" s="4" t="s">
        <v>580</v>
      </c>
      <c r="L12" t="s">
        <v>716</v>
      </c>
      <c r="M12" s="5" t="s">
        <v>701</v>
      </c>
      <c r="N12" s="7">
        <v>0.1</v>
      </c>
      <c r="O12" s="11" t="s">
        <v>77</v>
      </c>
    </row>
    <row r="13" spans="1:15">
      <c r="A13" s="10"/>
      <c r="B13" s="10"/>
      <c r="C13" s="10"/>
      <c r="D13" s="10"/>
      <c r="E13" s="10"/>
      <c r="F13" s="10"/>
      <c r="G13" s="13"/>
      <c r="H13" s="12"/>
      <c r="I13" t="s">
        <v>557</v>
      </c>
      <c r="J13" t="s">
        <v>596</v>
      </c>
      <c r="K13" s="4" t="s">
        <v>580</v>
      </c>
      <c r="L13" t="s">
        <v>686</v>
      </c>
      <c r="M13" s="2" t="s">
        <v>701</v>
      </c>
      <c r="N13" s="7">
        <v>0.1</v>
      </c>
      <c r="O13" s="11"/>
    </row>
    <row r="14" spans="1:15">
      <c r="A14" s="10"/>
      <c r="B14" s="10"/>
      <c r="C14" s="10"/>
      <c r="D14" s="10"/>
      <c r="E14" s="10"/>
      <c r="F14" s="10"/>
      <c r="G14" s="13"/>
      <c r="H14" s="12"/>
      <c r="I14" t="s">
        <v>591</v>
      </c>
      <c r="J14" t="s">
        <v>597</v>
      </c>
      <c r="K14" s="4" t="s">
        <v>580</v>
      </c>
      <c r="L14" t="s">
        <v>691</v>
      </c>
      <c r="M14" s="2" t="s">
        <v>701</v>
      </c>
      <c r="N14" s="7">
        <v>0.1</v>
      </c>
      <c r="O14" s="11"/>
    </row>
    <row r="15" spans="1:15">
      <c r="A15" s="10"/>
      <c r="B15" s="10"/>
      <c r="C15" s="10"/>
      <c r="D15" s="10"/>
      <c r="E15" s="10"/>
      <c r="F15" s="10"/>
      <c r="G15" s="13"/>
      <c r="H15" s="12"/>
      <c r="I15" s="2" t="s">
        <v>558</v>
      </c>
      <c r="J15" s="2" t="s">
        <v>585</v>
      </c>
      <c r="K15" s="5" t="s">
        <v>586</v>
      </c>
      <c r="L15" t="s">
        <v>677</v>
      </c>
      <c r="M15" s="2" t="s">
        <v>703</v>
      </c>
      <c r="N15" s="7">
        <v>0.2</v>
      </c>
      <c r="O15" s="11"/>
    </row>
    <row r="16" spans="1:15">
      <c r="A16" s="10" t="s">
        <v>245</v>
      </c>
      <c r="B16" s="10" t="s">
        <v>563</v>
      </c>
      <c r="C16" s="10" t="s">
        <v>578</v>
      </c>
      <c r="D16" s="10" t="s">
        <v>696</v>
      </c>
      <c r="E16" s="10" t="s">
        <v>16</v>
      </c>
      <c r="F16" s="10" t="s">
        <v>16</v>
      </c>
      <c r="G16" s="13">
        <v>172.8</v>
      </c>
      <c r="H16" s="12">
        <f>G16/118.8</f>
        <v>1.4545454545454546</v>
      </c>
      <c r="I16" s="2" t="s">
        <v>559</v>
      </c>
      <c r="J16" s="2" t="s">
        <v>592</v>
      </c>
      <c r="K16" s="5" t="s">
        <v>580</v>
      </c>
      <c r="L16" t="s">
        <v>592</v>
      </c>
      <c r="M16" s="2" t="s">
        <v>701</v>
      </c>
      <c r="N16" s="7">
        <v>0.3</v>
      </c>
      <c r="O16" s="11" t="s">
        <v>248</v>
      </c>
    </row>
    <row r="17" spans="1:15">
      <c r="A17" s="10"/>
      <c r="B17" s="10"/>
      <c r="C17" s="10"/>
      <c r="D17" s="10"/>
      <c r="E17" s="10"/>
      <c r="F17" s="10"/>
      <c r="G17" s="13"/>
      <c r="H17" s="12"/>
      <c r="I17" s="2" t="s">
        <v>549</v>
      </c>
      <c r="J17" s="2" t="s">
        <v>582</v>
      </c>
      <c r="K17" s="5" t="s">
        <v>580</v>
      </c>
      <c r="L17" t="s">
        <v>674</v>
      </c>
      <c r="M17" s="2" t="s">
        <v>701</v>
      </c>
      <c r="N17" s="7">
        <v>0.12</v>
      </c>
      <c r="O17" s="11"/>
    </row>
    <row r="18" spans="1:15">
      <c r="A18" s="10"/>
      <c r="B18" s="10"/>
      <c r="C18" s="10"/>
      <c r="D18" s="10"/>
      <c r="E18" s="10"/>
      <c r="F18" s="10"/>
      <c r="G18" s="13"/>
      <c r="H18" s="12"/>
      <c r="I18" s="2" t="s">
        <v>560</v>
      </c>
      <c r="J18" s="2" t="s">
        <v>583</v>
      </c>
      <c r="K18" s="5" t="s">
        <v>580</v>
      </c>
      <c r="L18" s="2" t="s">
        <v>687</v>
      </c>
      <c r="M18" s="2" t="s">
        <v>701</v>
      </c>
      <c r="N18" s="8">
        <v>0.1</v>
      </c>
      <c r="O18" s="11"/>
    </row>
    <row r="19" spans="1:15">
      <c r="A19" s="10"/>
      <c r="B19" s="10"/>
      <c r="C19" s="10"/>
      <c r="D19" s="10"/>
      <c r="E19" s="10"/>
      <c r="F19" s="10"/>
      <c r="G19" s="13"/>
      <c r="H19" s="12"/>
      <c r="I19" s="2" t="s">
        <v>562</v>
      </c>
      <c r="J19" s="2" t="s">
        <v>598</v>
      </c>
      <c r="K19" s="5" t="s">
        <v>599</v>
      </c>
      <c r="L19" t="s">
        <v>699</v>
      </c>
      <c r="M19" s="2" t="s">
        <v>702</v>
      </c>
      <c r="N19">
        <v>12</v>
      </c>
      <c r="O19" s="11"/>
    </row>
    <row r="20" spans="1:15">
      <c r="A20" s="10"/>
      <c r="B20" s="10"/>
      <c r="C20" s="10"/>
      <c r="D20" s="10"/>
      <c r="E20" s="10"/>
      <c r="F20" s="10"/>
      <c r="G20" s="13"/>
      <c r="H20" s="12"/>
      <c r="I20" s="2" t="s">
        <v>561</v>
      </c>
      <c r="J20" s="2" t="s">
        <v>592</v>
      </c>
      <c r="K20" s="5" t="s">
        <v>593</v>
      </c>
      <c r="L20" t="s">
        <v>592</v>
      </c>
      <c r="M20" s="2" t="s">
        <v>702</v>
      </c>
      <c r="N20" s="7">
        <v>0.15</v>
      </c>
      <c r="O20" s="11"/>
    </row>
    <row r="21" spans="1:15">
      <c r="A21" s="10" t="s">
        <v>409</v>
      </c>
      <c r="B21" s="10" t="s">
        <v>544</v>
      </c>
      <c r="C21" s="10" t="s">
        <v>579</v>
      </c>
      <c r="D21" s="10" t="s">
        <v>696</v>
      </c>
      <c r="E21" s="10" t="s">
        <v>16</v>
      </c>
      <c r="F21" s="10" t="s">
        <v>16</v>
      </c>
      <c r="G21" s="13">
        <v>230.4</v>
      </c>
      <c r="H21" s="12">
        <f>G21/158.4</f>
        <v>1.4545454545454546</v>
      </c>
      <c r="I21" s="2" t="s">
        <v>564</v>
      </c>
      <c r="J21" s="2" t="s">
        <v>600</v>
      </c>
      <c r="K21" s="5" t="s">
        <v>580</v>
      </c>
      <c r="L21" t="s">
        <v>600</v>
      </c>
      <c r="M21" s="2" t="s">
        <v>705</v>
      </c>
      <c r="N21">
        <v>40</v>
      </c>
      <c r="O21" s="11" t="s">
        <v>411</v>
      </c>
    </row>
    <row r="22" spans="1:15">
      <c r="A22" s="10"/>
      <c r="B22" s="10"/>
      <c r="C22" s="10"/>
      <c r="D22" s="10"/>
      <c r="E22" s="10"/>
      <c r="F22" s="10"/>
      <c r="G22" s="13"/>
      <c r="H22" s="12"/>
      <c r="I22" s="2" t="s">
        <v>565</v>
      </c>
      <c r="J22" s="2" t="s">
        <v>582</v>
      </c>
      <c r="K22" s="5" t="s">
        <v>580</v>
      </c>
      <c r="L22" t="s">
        <v>674</v>
      </c>
      <c r="M22" s="2" t="s">
        <v>704</v>
      </c>
      <c r="N22" s="7">
        <v>0.12</v>
      </c>
      <c r="O22" s="11"/>
    </row>
    <row r="23" spans="1:15">
      <c r="A23" s="10"/>
      <c r="B23" s="10"/>
      <c r="C23" s="10"/>
      <c r="D23" s="10"/>
      <c r="E23" s="10"/>
      <c r="F23" s="10"/>
      <c r="G23" s="13"/>
      <c r="H23" s="12"/>
      <c r="I23" s="2" t="s">
        <v>566</v>
      </c>
      <c r="J23" s="2" t="s">
        <v>583</v>
      </c>
      <c r="K23" s="5" t="s">
        <v>580</v>
      </c>
      <c r="L23" s="2" t="s">
        <v>687</v>
      </c>
      <c r="M23" s="2" t="s">
        <v>704</v>
      </c>
      <c r="N23" s="8">
        <v>0.1</v>
      </c>
      <c r="O23" s="11"/>
    </row>
    <row r="24" spans="1:15">
      <c r="A24" s="10" t="s">
        <v>412</v>
      </c>
      <c r="B24" s="10" t="s">
        <v>545</v>
      </c>
      <c r="C24" s="10" t="s">
        <v>579</v>
      </c>
      <c r="D24" s="10" t="s">
        <v>693</v>
      </c>
      <c r="E24" s="10" t="s">
        <v>16</v>
      </c>
      <c r="F24" s="10" t="s">
        <v>16</v>
      </c>
      <c r="G24" s="13">
        <v>403.2</v>
      </c>
      <c r="H24" s="12">
        <f>G24/277.2</f>
        <v>1.4545454545454546</v>
      </c>
      <c r="I24" s="2" t="s">
        <v>567</v>
      </c>
      <c r="J24" s="2" t="s">
        <v>600</v>
      </c>
      <c r="K24" s="5" t="s">
        <v>580</v>
      </c>
      <c r="L24" t="s">
        <v>600</v>
      </c>
      <c r="M24" s="2" t="s">
        <v>705</v>
      </c>
      <c r="N24">
        <v>40</v>
      </c>
      <c r="O24" s="11" t="s">
        <v>414</v>
      </c>
    </row>
    <row r="25" spans="1:15">
      <c r="A25" s="10"/>
      <c r="B25" s="10"/>
      <c r="C25" s="10"/>
      <c r="D25" s="10"/>
      <c r="E25" s="10"/>
      <c r="F25" s="10"/>
      <c r="G25" s="13"/>
      <c r="H25" s="12"/>
      <c r="I25" s="2" t="s">
        <v>549</v>
      </c>
      <c r="J25" s="2" t="s">
        <v>582</v>
      </c>
      <c r="K25" s="5" t="s">
        <v>580</v>
      </c>
      <c r="L25" t="s">
        <v>674</v>
      </c>
      <c r="M25" s="2" t="s">
        <v>704</v>
      </c>
      <c r="N25" s="7">
        <v>0.12</v>
      </c>
      <c r="O25" s="11"/>
    </row>
    <row r="26" spans="1:15">
      <c r="A26" s="10"/>
      <c r="B26" s="10"/>
      <c r="C26" s="10"/>
      <c r="D26" s="10"/>
      <c r="E26" s="10"/>
      <c r="F26" s="10"/>
      <c r="G26" s="13"/>
      <c r="H26" s="12"/>
      <c r="I26" s="2" t="s">
        <v>560</v>
      </c>
      <c r="J26" s="2" t="s">
        <v>583</v>
      </c>
      <c r="K26" s="5" t="s">
        <v>580</v>
      </c>
      <c r="L26" s="2" t="s">
        <v>687</v>
      </c>
      <c r="M26" s="2" t="s">
        <v>704</v>
      </c>
      <c r="N26" s="8">
        <v>0.1</v>
      </c>
      <c r="O26" s="11"/>
    </row>
    <row r="27" spans="1:15">
      <c r="A27" s="10" t="s">
        <v>415</v>
      </c>
      <c r="B27" s="10" t="s">
        <v>55</v>
      </c>
      <c r="C27" s="10" t="s">
        <v>578</v>
      </c>
      <c r="D27" s="10" t="s">
        <v>693</v>
      </c>
      <c r="E27" s="10" t="s">
        <v>16</v>
      </c>
      <c r="F27" s="10" t="s">
        <v>16</v>
      </c>
      <c r="G27" s="13">
        <v>302.39999999999998</v>
      </c>
      <c r="H27" s="12">
        <f>G27/207.9</f>
        <v>1.4545454545454544</v>
      </c>
      <c r="I27" s="2" t="s">
        <v>568</v>
      </c>
      <c r="J27" s="2" t="s">
        <v>601</v>
      </c>
      <c r="K27" s="5" t="s">
        <v>580</v>
      </c>
      <c r="L27" t="s">
        <v>601</v>
      </c>
      <c r="M27" s="2" t="s">
        <v>707</v>
      </c>
      <c r="N27" s="7">
        <v>0.75</v>
      </c>
      <c r="O27" s="11" t="s">
        <v>417</v>
      </c>
    </row>
    <row r="28" spans="1:15">
      <c r="A28" s="10"/>
      <c r="B28" s="10"/>
      <c r="C28" s="10"/>
      <c r="D28" s="10"/>
      <c r="E28" s="10"/>
      <c r="F28" s="10"/>
      <c r="G28" s="13"/>
      <c r="H28" s="12"/>
      <c r="I28" s="2" t="s">
        <v>565</v>
      </c>
      <c r="J28" s="2" t="s">
        <v>582</v>
      </c>
      <c r="K28" s="5" t="s">
        <v>580</v>
      </c>
      <c r="L28" t="s">
        <v>674</v>
      </c>
      <c r="M28" s="2" t="s">
        <v>701</v>
      </c>
      <c r="N28" s="7">
        <v>0.12</v>
      </c>
      <c r="O28" s="11"/>
    </row>
    <row r="29" spans="1:15">
      <c r="A29" s="10"/>
      <c r="B29" s="10"/>
      <c r="C29" s="10"/>
      <c r="D29" s="10"/>
      <c r="E29" s="10"/>
      <c r="F29" s="10"/>
      <c r="G29" s="13"/>
      <c r="H29" s="12"/>
      <c r="I29" s="2" t="s">
        <v>566</v>
      </c>
      <c r="J29" s="2" t="s">
        <v>583</v>
      </c>
      <c r="K29" s="5" t="s">
        <v>580</v>
      </c>
      <c r="L29" s="2" t="s">
        <v>687</v>
      </c>
      <c r="M29" s="2" t="s">
        <v>701</v>
      </c>
      <c r="N29" s="8">
        <v>0.1</v>
      </c>
      <c r="O29" s="11"/>
    </row>
    <row r="30" spans="1:15">
      <c r="A30" s="10"/>
      <c r="B30" s="10"/>
      <c r="C30" s="10"/>
      <c r="D30" s="10"/>
      <c r="E30" s="10"/>
      <c r="F30" s="10"/>
      <c r="G30" s="13"/>
      <c r="H30" s="12"/>
      <c r="I30" s="2" t="s">
        <v>569</v>
      </c>
      <c r="J30" s="2" t="s">
        <v>585</v>
      </c>
      <c r="K30" s="5" t="s">
        <v>588</v>
      </c>
      <c r="L30" t="s">
        <v>677</v>
      </c>
      <c r="M30" s="2" t="s">
        <v>703</v>
      </c>
      <c r="N30" s="7">
        <v>0.2</v>
      </c>
      <c r="O30" s="11"/>
    </row>
    <row r="31" spans="1:15">
      <c r="A31" s="10"/>
      <c r="B31" s="10"/>
      <c r="C31" s="10"/>
      <c r="D31" s="10"/>
      <c r="E31" s="10"/>
      <c r="F31" s="10"/>
      <c r="G31" s="13"/>
      <c r="H31" s="12"/>
      <c r="I31" s="2" t="s">
        <v>570</v>
      </c>
      <c r="J31" s="2" t="s">
        <v>601</v>
      </c>
      <c r="K31" s="5" t="s">
        <v>602</v>
      </c>
      <c r="L31" t="s">
        <v>706</v>
      </c>
      <c r="M31" s="2" t="s">
        <v>708</v>
      </c>
      <c r="N31" s="7">
        <v>1</v>
      </c>
      <c r="O31" s="11"/>
    </row>
    <row r="32" spans="1:15">
      <c r="A32" s="10" t="s">
        <v>431</v>
      </c>
      <c r="B32" s="10" t="s">
        <v>475</v>
      </c>
      <c r="C32" s="10" t="s">
        <v>578</v>
      </c>
      <c r="D32" s="10" t="s">
        <v>697</v>
      </c>
      <c r="E32" s="13">
        <v>360</v>
      </c>
      <c r="F32" s="13">
        <v>240</v>
      </c>
      <c r="G32" s="13" t="s">
        <v>16</v>
      </c>
      <c r="H32" s="12">
        <f>E32/247.5</f>
        <v>1.4545454545454546</v>
      </c>
      <c r="I32" t="s">
        <v>571</v>
      </c>
      <c r="J32" t="s">
        <v>603</v>
      </c>
      <c r="K32" s="4" t="s">
        <v>580</v>
      </c>
      <c r="L32" t="s">
        <v>698</v>
      </c>
      <c r="M32" s="9" t="s">
        <v>701</v>
      </c>
      <c r="N32">
        <v>10</v>
      </c>
      <c r="O32" s="11" t="s">
        <v>435</v>
      </c>
    </row>
    <row r="33" spans="1:15">
      <c r="A33" s="10"/>
      <c r="B33" s="10"/>
      <c r="C33" s="10"/>
      <c r="D33" s="10"/>
      <c r="E33" s="13"/>
      <c r="F33" s="13"/>
      <c r="G33" s="13"/>
      <c r="H33" s="12"/>
      <c r="I33" t="s">
        <v>572</v>
      </c>
      <c r="J33" t="s">
        <v>604</v>
      </c>
      <c r="K33" s="4" t="s">
        <v>580</v>
      </c>
      <c r="L33" t="s">
        <v>685</v>
      </c>
      <c r="M33" s="9" t="s">
        <v>701</v>
      </c>
      <c r="N33">
        <v>20</v>
      </c>
      <c r="O33" s="11"/>
    </row>
    <row r="34" spans="1:15">
      <c r="A34" s="10"/>
      <c r="B34" s="10"/>
      <c r="C34" s="10"/>
      <c r="D34" s="10"/>
      <c r="E34" s="13"/>
      <c r="F34" s="13"/>
      <c r="G34" s="13"/>
      <c r="H34" s="12"/>
      <c r="I34" t="s">
        <v>573</v>
      </c>
      <c r="J34" t="s">
        <v>605</v>
      </c>
      <c r="K34" s="4" t="s">
        <v>580</v>
      </c>
      <c r="L34" t="s">
        <v>684</v>
      </c>
      <c r="M34" s="9" t="s">
        <v>701</v>
      </c>
      <c r="N34">
        <v>20</v>
      </c>
      <c r="O34" s="11"/>
    </row>
    <row r="35" spans="1:15">
      <c r="A35" s="10"/>
      <c r="B35" s="10"/>
      <c r="C35" s="10"/>
      <c r="D35" s="10"/>
      <c r="E35" s="13"/>
      <c r="F35" s="13"/>
      <c r="G35" s="13"/>
      <c r="H35" s="12"/>
      <c r="I35" s="2" t="s">
        <v>574</v>
      </c>
      <c r="J35" s="2" t="s">
        <v>606</v>
      </c>
      <c r="K35" s="5" t="s">
        <v>608</v>
      </c>
      <c r="L35" s="2" t="s">
        <v>672</v>
      </c>
      <c r="M35" s="2" t="s">
        <v>702</v>
      </c>
      <c r="N35" s="8">
        <v>0.15</v>
      </c>
      <c r="O35" s="11"/>
    </row>
    <row r="36" spans="1:15">
      <c r="A36" s="10"/>
      <c r="B36" s="10"/>
      <c r="C36" s="10"/>
      <c r="D36" s="10"/>
      <c r="E36" s="13"/>
      <c r="F36" s="13"/>
      <c r="G36" s="13"/>
      <c r="H36" s="12"/>
      <c r="I36" s="2" t="s">
        <v>575</v>
      </c>
      <c r="J36" s="2" t="s">
        <v>607</v>
      </c>
      <c r="K36" s="5" t="s">
        <v>608</v>
      </c>
      <c r="L36" s="2" t="s">
        <v>673</v>
      </c>
      <c r="M36" s="2" t="s">
        <v>702</v>
      </c>
      <c r="N36" s="8">
        <v>0.15</v>
      </c>
      <c r="O36" s="11"/>
    </row>
  </sheetData>
  <mergeCells count="82">
    <mergeCell ref="G1:G2"/>
    <mergeCell ref="H1:H2"/>
    <mergeCell ref="I1:K1"/>
    <mergeCell ref="L1:N1"/>
    <mergeCell ref="O1:O2"/>
    <mergeCell ref="B1:B2"/>
    <mergeCell ref="C1:C2"/>
    <mergeCell ref="D1:D2"/>
    <mergeCell ref="E1:E2"/>
    <mergeCell ref="F1:F2"/>
    <mergeCell ref="O3:O6"/>
    <mergeCell ref="A7:A11"/>
    <mergeCell ref="B7:B11"/>
    <mergeCell ref="E7:E11"/>
    <mergeCell ref="F7:F11"/>
    <mergeCell ref="G7:G11"/>
    <mergeCell ref="O7:O11"/>
    <mergeCell ref="H3:H6"/>
    <mergeCell ref="H7:H11"/>
    <mergeCell ref="A3:A6"/>
    <mergeCell ref="B3:B6"/>
    <mergeCell ref="E3:E6"/>
    <mergeCell ref="F3:F6"/>
    <mergeCell ref="G3:G6"/>
    <mergeCell ref="C3:C6"/>
    <mergeCell ref="C7:C11"/>
    <mergeCell ref="O12:O15"/>
    <mergeCell ref="A16:A20"/>
    <mergeCell ref="B16:B20"/>
    <mergeCell ref="E16:E20"/>
    <mergeCell ref="F16:F20"/>
    <mergeCell ref="G16:G20"/>
    <mergeCell ref="O16:O20"/>
    <mergeCell ref="H12:H15"/>
    <mergeCell ref="H16:H20"/>
    <mergeCell ref="A12:A15"/>
    <mergeCell ref="B12:B15"/>
    <mergeCell ref="E12:E15"/>
    <mergeCell ref="F12:F15"/>
    <mergeCell ref="G12:G15"/>
    <mergeCell ref="C12:C15"/>
    <mergeCell ref="C16:C20"/>
    <mergeCell ref="O21:O23"/>
    <mergeCell ref="O24:O26"/>
    <mergeCell ref="H21:H23"/>
    <mergeCell ref="H24:H26"/>
    <mergeCell ref="A21:A23"/>
    <mergeCell ref="B21:B23"/>
    <mergeCell ref="E21:E23"/>
    <mergeCell ref="F21:F23"/>
    <mergeCell ref="G21:G23"/>
    <mergeCell ref="A24:A26"/>
    <mergeCell ref="B24:B26"/>
    <mergeCell ref="E24:E26"/>
    <mergeCell ref="F24:F26"/>
    <mergeCell ref="G24:G26"/>
    <mergeCell ref="C21:C23"/>
    <mergeCell ref="C24:C26"/>
    <mergeCell ref="A32:A36"/>
    <mergeCell ref="O27:O31"/>
    <mergeCell ref="O32:O36"/>
    <mergeCell ref="H27:H31"/>
    <mergeCell ref="H32:H36"/>
    <mergeCell ref="C32:C36"/>
    <mergeCell ref="A27:A31"/>
    <mergeCell ref="B27:B31"/>
    <mergeCell ref="E27:E31"/>
    <mergeCell ref="F27:F31"/>
    <mergeCell ref="G27:G31"/>
    <mergeCell ref="C27:C31"/>
    <mergeCell ref="G32:G36"/>
    <mergeCell ref="F32:F36"/>
    <mergeCell ref="E32:E36"/>
    <mergeCell ref="B32:B36"/>
    <mergeCell ref="D24:D26"/>
    <mergeCell ref="D27:D31"/>
    <mergeCell ref="D32:D36"/>
    <mergeCell ref="D3:D6"/>
    <mergeCell ref="D7:D11"/>
    <mergeCell ref="D12:D15"/>
    <mergeCell ref="D16:D20"/>
    <mergeCell ref="D21:D23"/>
  </mergeCells>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ACDA-DD35-4BFB-8DFE-3484E519933E}">
  <dimension ref="A1:O38"/>
  <sheetViews>
    <sheetView workbookViewId="0">
      <selection activeCell="C15" sqref="C15:C17"/>
    </sheetView>
  </sheetViews>
  <sheetFormatPr defaultRowHeight="14.25"/>
  <cols>
    <col min="1" max="1" width="21" bestFit="1" customWidth="1"/>
    <col min="2" max="2" width="22.5" customWidth="1"/>
    <col min="3" max="3" width="14.375" customWidth="1"/>
    <col min="4" max="4" width="15.5" customWidth="1"/>
    <col min="5" max="5" width="7.875" hidden="1" customWidth="1"/>
    <col min="6" max="6" width="13.625" style="3" hidden="1" customWidth="1"/>
    <col min="7" max="7" width="49" hidden="1" customWidth="1"/>
    <col min="8" max="8" width="20.625" hidden="1" customWidth="1"/>
    <col min="9" max="9" width="9.25" style="4" hidden="1" customWidth="1"/>
    <col min="10" max="10" width="36.375" style="4" hidden="1" customWidth="1"/>
    <col min="11" max="11" width="9.25" style="4" hidden="1" customWidth="1"/>
    <col min="12" max="12" width="15.125" style="4" bestFit="1" customWidth="1"/>
    <col min="13" max="13" width="4.25" style="15" bestFit="1" customWidth="1"/>
    <col min="14" max="14" width="3.875" style="15" bestFit="1" customWidth="1"/>
    <col min="15" max="15" width="80.75" customWidth="1"/>
  </cols>
  <sheetData>
    <row r="1" spans="1:15">
      <c r="B1" s="16" t="s">
        <v>538</v>
      </c>
      <c r="C1" s="16" t="s">
        <v>546</v>
      </c>
      <c r="D1" s="16" t="s">
        <v>610</v>
      </c>
      <c r="E1" s="16" t="s">
        <v>4</v>
      </c>
      <c r="F1" s="17" t="s">
        <v>611</v>
      </c>
      <c r="G1" s="16" t="s">
        <v>547</v>
      </c>
      <c r="H1" s="16"/>
      <c r="I1" s="16"/>
      <c r="J1" s="18" t="s">
        <v>671</v>
      </c>
      <c r="K1" s="18"/>
      <c r="L1" s="18"/>
      <c r="M1" s="18"/>
      <c r="N1" s="18"/>
      <c r="O1" s="16" t="s">
        <v>10</v>
      </c>
    </row>
    <row r="2" spans="1:15">
      <c r="B2" s="16"/>
      <c r="C2" s="16"/>
      <c r="D2" s="16"/>
      <c r="E2" s="16"/>
      <c r="F2" s="17"/>
      <c r="G2" t="s">
        <v>750</v>
      </c>
      <c r="H2" t="s">
        <v>609</v>
      </c>
      <c r="I2" s="4" t="s">
        <v>751</v>
      </c>
      <c r="J2" s="4" t="s">
        <v>10</v>
      </c>
      <c r="K2" s="4" t="s">
        <v>751</v>
      </c>
      <c r="L2" s="4" t="s">
        <v>0</v>
      </c>
      <c r="M2" s="4" t="s">
        <v>700</v>
      </c>
      <c r="N2" s="4" t="s">
        <v>713</v>
      </c>
      <c r="O2" s="16"/>
    </row>
    <row r="3" spans="1:15">
      <c r="A3" s="10" t="s">
        <v>18</v>
      </c>
      <c r="B3" s="14" t="s">
        <v>460</v>
      </c>
      <c r="C3" s="10"/>
      <c r="D3" s="10" t="s">
        <v>634</v>
      </c>
      <c r="E3" s="13">
        <v>192</v>
      </c>
      <c r="F3" s="12">
        <f>E3/132</f>
        <v>1.4545454545454546</v>
      </c>
      <c r="G3" t="s">
        <v>612</v>
      </c>
      <c r="H3" t="s">
        <v>641</v>
      </c>
      <c r="I3" s="4" t="s">
        <v>580</v>
      </c>
      <c r="J3" t="s">
        <v>641</v>
      </c>
      <c r="K3" s="5" t="s">
        <v>709</v>
      </c>
      <c r="L3" s="5" t="s">
        <v>641</v>
      </c>
      <c r="M3" s="15">
        <v>20</v>
      </c>
      <c r="N3" s="15">
        <v>1</v>
      </c>
      <c r="O3" s="11" t="s">
        <v>23</v>
      </c>
    </row>
    <row r="4" spans="1:15">
      <c r="A4" s="10"/>
      <c r="B4" s="14"/>
      <c r="C4" s="10"/>
      <c r="D4" s="10"/>
      <c r="E4" s="13"/>
      <c r="F4" s="12"/>
      <c r="G4" t="s">
        <v>613</v>
      </c>
      <c r="H4" t="s">
        <v>642</v>
      </c>
      <c r="I4" s="4" t="s">
        <v>580</v>
      </c>
      <c r="J4" s="6" t="s">
        <v>689</v>
      </c>
      <c r="L4" s="4" t="s">
        <v>714</v>
      </c>
      <c r="M4" s="15">
        <v>50</v>
      </c>
      <c r="N4" s="15">
        <v>6</v>
      </c>
      <c r="O4" s="11"/>
    </row>
    <row r="5" spans="1:15">
      <c r="A5" s="10"/>
      <c r="B5" s="14"/>
      <c r="C5" s="10"/>
      <c r="D5" s="10"/>
      <c r="E5" s="13"/>
      <c r="F5" s="12"/>
      <c r="G5" t="s">
        <v>614</v>
      </c>
      <c r="H5" t="s">
        <v>605</v>
      </c>
      <c r="I5" s="4" t="s">
        <v>580</v>
      </c>
      <c r="J5" t="s">
        <v>680</v>
      </c>
      <c r="K5" s="5" t="s">
        <v>701</v>
      </c>
      <c r="L5" s="5" t="s">
        <v>605</v>
      </c>
      <c r="M5" s="15">
        <v>20</v>
      </c>
      <c r="N5" s="15">
        <v>20</v>
      </c>
      <c r="O5" s="11"/>
    </row>
    <row r="6" spans="1:15">
      <c r="A6" s="10" t="s">
        <v>28</v>
      </c>
      <c r="B6" s="10" t="s">
        <v>540</v>
      </c>
      <c r="C6" s="10"/>
      <c r="D6" s="10" t="s">
        <v>635</v>
      </c>
      <c r="E6" s="13">
        <v>240</v>
      </c>
      <c r="F6" s="12">
        <f>E6/165</f>
        <v>1.4545454545454546</v>
      </c>
      <c r="G6" t="s">
        <v>615</v>
      </c>
      <c r="H6" t="s">
        <v>643</v>
      </c>
      <c r="I6" s="4" t="s">
        <v>580</v>
      </c>
      <c r="J6" t="s">
        <v>683</v>
      </c>
      <c r="K6" s="5" t="s">
        <v>711</v>
      </c>
      <c r="L6" s="5" t="s">
        <v>715</v>
      </c>
      <c r="M6" s="15">
        <v>15</v>
      </c>
      <c r="N6" s="15">
        <v>1</v>
      </c>
      <c r="O6" s="11" t="s">
        <v>30</v>
      </c>
    </row>
    <row r="7" spans="1:15">
      <c r="A7" s="10"/>
      <c r="B7" s="10"/>
      <c r="C7" s="10"/>
      <c r="D7" s="10"/>
      <c r="E7" s="13"/>
      <c r="F7" s="12"/>
      <c r="G7" t="s">
        <v>616</v>
      </c>
      <c r="H7" t="s">
        <v>604</v>
      </c>
      <c r="I7" s="4" t="s">
        <v>580</v>
      </c>
      <c r="J7" t="s">
        <v>681</v>
      </c>
      <c r="K7" s="5" t="s">
        <v>701</v>
      </c>
      <c r="L7" s="5" t="s">
        <v>604</v>
      </c>
      <c r="M7" s="15">
        <v>20</v>
      </c>
      <c r="N7" s="15">
        <v>20</v>
      </c>
      <c r="O7" s="11"/>
    </row>
    <row r="8" spans="1:15">
      <c r="A8" s="10"/>
      <c r="B8" s="10"/>
      <c r="C8" s="10"/>
      <c r="D8" s="10"/>
      <c r="E8" s="13"/>
      <c r="F8" s="12"/>
      <c r="G8" t="s">
        <v>617</v>
      </c>
      <c r="H8" t="s">
        <v>605</v>
      </c>
      <c r="I8" s="4" t="s">
        <v>580</v>
      </c>
      <c r="J8" t="s">
        <v>680</v>
      </c>
      <c r="K8" s="5" t="s">
        <v>701</v>
      </c>
      <c r="L8" s="5" t="s">
        <v>605</v>
      </c>
      <c r="M8" s="15">
        <v>20</v>
      </c>
      <c r="N8" s="15">
        <v>20</v>
      </c>
      <c r="O8" s="11"/>
    </row>
    <row r="9" spans="1:15">
      <c r="A9" s="10" t="s">
        <v>31</v>
      </c>
      <c r="B9" s="14" t="s">
        <v>541</v>
      </c>
      <c r="C9" s="10"/>
      <c r="D9" s="10" t="s">
        <v>635</v>
      </c>
      <c r="E9" s="13">
        <v>240</v>
      </c>
      <c r="F9" s="12">
        <f>E9/165</f>
        <v>1.4545454545454546</v>
      </c>
      <c r="G9" t="s">
        <v>615</v>
      </c>
      <c r="H9" t="s">
        <v>643</v>
      </c>
      <c r="I9" s="4" t="s">
        <v>580</v>
      </c>
      <c r="J9" t="s">
        <v>683</v>
      </c>
      <c r="K9" s="5" t="s">
        <v>711</v>
      </c>
      <c r="L9" s="5" t="s">
        <v>715</v>
      </c>
      <c r="M9" s="15">
        <v>15</v>
      </c>
      <c r="N9" s="15">
        <v>1</v>
      </c>
      <c r="O9" s="11" t="s">
        <v>33</v>
      </c>
    </row>
    <row r="10" spans="1:15">
      <c r="A10" s="10"/>
      <c r="B10" s="14"/>
      <c r="C10" s="10"/>
      <c r="D10" s="10"/>
      <c r="E10" s="13"/>
      <c r="F10" s="12"/>
      <c r="G10" t="s">
        <v>616</v>
      </c>
      <c r="H10" t="s">
        <v>604</v>
      </c>
      <c r="I10" s="4" t="s">
        <v>580</v>
      </c>
      <c r="J10" t="s">
        <v>681</v>
      </c>
      <c r="K10" s="5" t="s">
        <v>701</v>
      </c>
      <c r="L10" s="5" t="s">
        <v>604</v>
      </c>
      <c r="M10" s="15">
        <v>20</v>
      </c>
      <c r="N10" s="15">
        <v>20</v>
      </c>
      <c r="O10" s="11"/>
    </row>
    <row r="11" spans="1:15">
      <c r="A11" s="10"/>
      <c r="B11" s="14"/>
      <c r="C11" s="10"/>
      <c r="D11" s="10"/>
      <c r="E11" s="13"/>
      <c r="F11" s="12"/>
      <c r="G11" t="s">
        <v>617</v>
      </c>
      <c r="H11" t="s">
        <v>605</v>
      </c>
      <c r="I11" s="4" t="s">
        <v>580</v>
      </c>
      <c r="J11" t="s">
        <v>680</v>
      </c>
      <c r="K11" s="5" t="s">
        <v>701</v>
      </c>
      <c r="L11" s="5" t="s">
        <v>605</v>
      </c>
      <c r="M11" s="15">
        <v>20</v>
      </c>
      <c r="N11" s="15">
        <v>20</v>
      </c>
      <c r="O11" s="11"/>
    </row>
    <row r="12" spans="1:15">
      <c r="A12" s="10" t="s">
        <v>361</v>
      </c>
      <c r="B12" s="10" t="s">
        <v>543</v>
      </c>
      <c r="C12" s="10"/>
      <c r="D12" s="10" t="s">
        <v>639</v>
      </c>
      <c r="E12" s="13">
        <v>192</v>
      </c>
      <c r="F12" s="12">
        <f>E12/132</f>
        <v>1.4545454545454546</v>
      </c>
      <c r="G12" t="s">
        <v>618</v>
      </c>
      <c r="H12" t="s">
        <v>646</v>
      </c>
      <c r="I12" s="4" t="s">
        <v>580</v>
      </c>
      <c r="J12" t="s">
        <v>646</v>
      </c>
      <c r="K12" s="5" t="s">
        <v>709</v>
      </c>
      <c r="L12" s="5" t="s">
        <v>646</v>
      </c>
      <c r="M12" s="15">
        <v>20</v>
      </c>
      <c r="N12" s="15">
        <v>1</v>
      </c>
      <c r="O12" s="11" t="s">
        <v>363</v>
      </c>
    </row>
    <row r="13" spans="1:15">
      <c r="A13" s="10"/>
      <c r="B13" s="10"/>
      <c r="C13" s="10"/>
      <c r="D13" s="10"/>
      <c r="E13" s="13"/>
      <c r="F13" s="12"/>
      <c r="G13" t="s">
        <v>619</v>
      </c>
      <c r="H13" t="s">
        <v>645</v>
      </c>
      <c r="I13" s="4" t="s">
        <v>580</v>
      </c>
      <c r="J13" s="6" t="s">
        <v>688</v>
      </c>
      <c r="L13" s="4" t="s">
        <v>646</v>
      </c>
      <c r="M13" s="15">
        <v>1</v>
      </c>
      <c r="N13" s="15">
        <v>10</v>
      </c>
      <c r="O13" s="11"/>
    </row>
    <row r="14" spans="1:15">
      <c r="A14" s="10"/>
      <c r="B14" s="10"/>
      <c r="C14" s="10"/>
      <c r="D14" s="10"/>
      <c r="E14" s="13"/>
      <c r="F14" s="12"/>
      <c r="G14" t="s">
        <v>614</v>
      </c>
      <c r="H14" t="s">
        <v>605</v>
      </c>
      <c r="I14" s="4" t="s">
        <v>580</v>
      </c>
      <c r="J14" t="s">
        <v>680</v>
      </c>
      <c r="K14" s="5" t="s">
        <v>701</v>
      </c>
      <c r="L14" s="5" t="s">
        <v>605</v>
      </c>
      <c r="M14" s="15">
        <v>20</v>
      </c>
      <c r="N14" s="15">
        <v>20</v>
      </c>
      <c r="O14" s="11"/>
    </row>
    <row r="15" spans="1:15">
      <c r="A15" s="10" t="s">
        <v>364</v>
      </c>
      <c r="B15" s="10" t="s">
        <v>311</v>
      </c>
      <c r="C15" s="10"/>
      <c r="D15" s="10" t="s">
        <v>636</v>
      </c>
      <c r="E15" s="13">
        <v>240</v>
      </c>
      <c r="F15" s="12">
        <f>E15/165</f>
        <v>1.4545454545454546</v>
      </c>
      <c r="G15" t="s">
        <v>620</v>
      </c>
      <c r="H15" t="s">
        <v>646</v>
      </c>
      <c r="I15" s="4" t="s">
        <v>580</v>
      </c>
      <c r="J15" t="s">
        <v>646</v>
      </c>
      <c r="K15" s="5" t="s">
        <v>709</v>
      </c>
      <c r="L15" s="5" t="s">
        <v>646</v>
      </c>
      <c r="M15" s="15">
        <v>20</v>
      </c>
      <c r="N15" s="15">
        <v>1</v>
      </c>
      <c r="O15" s="11" t="s">
        <v>366</v>
      </c>
    </row>
    <row r="16" spans="1:15">
      <c r="A16" s="10"/>
      <c r="B16" s="10"/>
      <c r="C16" s="10"/>
      <c r="D16" s="10"/>
      <c r="E16" s="13"/>
      <c r="F16" s="12"/>
      <c r="G16" t="s">
        <v>619</v>
      </c>
      <c r="H16" t="s">
        <v>645</v>
      </c>
      <c r="I16" s="4" t="s">
        <v>580</v>
      </c>
      <c r="J16" s="6" t="s">
        <v>688</v>
      </c>
      <c r="L16" s="4" t="s">
        <v>646</v>
      </c>
      <c r="M16" s="15">
        <v>1</v>
      </c>
      <c r="N16" s="15">
        <v>10</v>
      </c>
      <c r="O16" s="11"/>
    </row>
    <row r="17" spans="1:15">
      <c r="A17" s="10"/>
      <c r="B17" s="10"/>
      <c r="C17" s="10"/>
      <c r="D17" s="10"/>
      <c r="E17" s="13"/>
      <c r="F17" s="12"/>
      <c r="G17" t="s">
        <v>617</v>
      </c>
      <c r="H17" t="s">
        <v>605</v>
      </c>
      <c r="I17" s="4" t="s">
        <v>580</v>
      </c>
      <c r="J17" t="s">
        <v>680</v>
      </c>
      <c r="K17" s="5" t="s">
        <v>701</v>
      </c>
      <c r="L17" s="5" t="s">
        <v>605</v>
      </c>
      <c r="M17" s="15">
        <v>20</v>
      </c>
      <c r="N17" s="15">
        <v>20</v>
      </c>
      <c r="O17" s="11"/>
    </row>
    <row r="18" spans="1:15">
      <c r="A18" s="10" t="s">
        <v>367</v>
      </c>
      <c r="B18" s="14" t="s">
        <v>541</v>
      </c>
      <c r="C18" s="10"/>
      <c r="D18" s="10" t="s">
        <v>638</v>
      </c>
      <c r="E18" s="13">
        <v>192</v>
      </c>
      <c r="F18" s="12">
        <f>E18/132</f>
        <v>1.4545454545454546</v>
      </c>
      <c r="G18" t="s">
        <v>621</v>
      </c>
      <c r="H18" t="s">
        <v>641</v>
      </c>
      <c r="I18" s="4" t="s">
        <v>580</v>
      </c>
      <c r="J18" t="s">
        <v>641</v>
      </c>
      <c r="K18" s="5" t="s">
        <v>709</v>
      </c>
      <c r="L18" s="5" t="s">
        <v>641</v>
      </c>
      <c r="M18" s="15">
        <v>20</v>
      </c>
      <c r="N18" s="15">
        <v>1</v>
      </c>
      <c r="O18" s="11" t="s">
        <v>370</v>
      </c>
    </row>
    <row r="19" spans="1:15">
      <c r="A19" s="10"/>
      <c r="B19" s="14"/>
      <c r="C19" s="10"/>
      <c r="D19" s="10"/>
      <c r="E19" s="13"/>
      <c r="F19" s="12"/>
      <c r="G19" t="s">
        <v>622</v>
      </c>
      <c r="H19" t="s">
        <v>642</v>
      </c>
      <c r="I19" s="4" t="s">
        <v>580</v>
      </c>
      <c r="J19" s="6" t="s">
        <v>689</v>
      </c>
      <c r="L19" s="4" t="s">
        <v>714</v>
      </c>
      <c r="M19" s="15">
        <v>50</v>
      </c>
      <c r="N19" s="15">
        <v>6</v>
      </c>
      <c r="O19" s="11"/>
    </row>
    <row r="20" spans="1:15">
      <c r="A20" s="10"/>
      <c r="B20" s="14"/>
      <c r="C20" s="10"/>
      <c r="D20" s="10"/>
      <c r="E20" s="13"/>
      <c r="F20" s="12"/>
      <c r="G20" t="s">
        <v>623</v>
      </c>
      <c r="H20" t="s">
        <v>604</v>
      </c>
      <c r="I20" s="4" t="s">
        <v>580</v>
      </c>
      <c r="J20" t="s">
        <v>681</v>
      </c>
      <c r="K20" s="5" t="s">
        <v>701</v>
      </c>
      <c r="L20" s="5" t="s">
        <v>604</v>
      </c>
      <c r="M20" s="15">
        <v>20</v>
      </c>
      <c r="N20" s="15">
        <v>20</v>
      </c>
      <c r="O20" s="11"/>
    </row>
    <row r="21" spans="1:15">
      <c r="A21" s="10" t="s">
        <v>428</v>
      </c>
      <c r="B21" s="10" t="s">
        <v>143</v>
      </c>
      <c r="C21" s="10"/>
      <c r="D21" s="10" t="s">
        <v>639</v>
      </c>
      <c r="E21" s="13">
        <v>192</v>
      </c>
      <c r="F21" s="12">
        <f>E21/132</f>
        <v>1.4545454545454546</v>
      </c>
      <c r="G21" t="s">
        <v>624</v>
      </c>
      <c r="H21" t="s">
        <v>647</v>
      </c>
      <c r="I21" s="4" t="s">
        <v>580</v>
      </c>
      <c r="J21" t="s">
        <v>682</v>
      </c>
      <c r="K21" s="5" t="s">
        <v>710</v>
      </c>
      <c r="L21" s="5" t="s">
        <v>647</v>
      </c>
      <c r="M21" s="15">
        <v>25</v>
      </c>
      <c r="N21" s="15">
        <v>1</v>
      </c>
      <c r="O21" s="11" t="s">
        <v>430</v>
      </c>
    </row>
    <row r="22" spans="1:15">
      <c r="A22" s="10"/>
      <c r="B22" s="10"/>
      <c r="C22" s="10"/>
      <c r="D22" s="10"/>
      <c r="E22" s="13"/>
      <c r="F22" s="12"/>
      <c r="G22" t="s">
        <v>623</v>
      </c>
      <c r="H22" t="s">
        <v>604</v>
      </c>
      <c r="I22" s="4" t="s">
        <v>580</v>
      </c>
      <c r="J22" t="s">
        <v>681</v>
      </c>
      <c r="K22" s="5" t="s">
        <v>701</v>
      </c>
      <c r="L22" s="5" t="s">
        <v>604</v>
      </c>
      <c r="M22" s="15">
        <v>20</v>
      </c>
      <c r="N22" s="15">
        <v>20</v>
      </c>
      <c r="O22" s="11"/>
    </row>
    <row r="23" spans="1:15">
      <c r="A23" s="10"/>
      <c r="B23" s="10"/>
      <c r="C23" s="10"/>
      <c r="D23" s="10"/>
      <c r="E23" s="13"/>
      <c r="F23" s="12"/>
      <c r="G23" t="s">
        <v>614</v>
      </c>
      <c r="H23" t="s">
        <v>605</v>
      </c>
      <c r="I23" s="4" t="s">
        <v>580</v>
      </c>
      <c r="J23" t="s">
        <v>680</v>
      </c>
      <c r="K23" s="5" t="s">
        <v>701</v>
      </c>
      <c r="L23" s="5" t="s">
        <v>605</v>
      </c>
      <c r="M23" s="15">
        <v>20</v>
      </c>
      <c r="N23" s="15">
        <v>20</v>
      </c>
      <c r="O23" s="11"/>
    </row>
    <row r="24" spans="1:15">
      <c r="A24" s="10" t="s">
        <v>464</v>
      </c>
      <c r="B24" s="10" t="s">
        <v>371</v>
      </c>
      <c r="C24" s="10"/>
      <c r="D24" s="10" t="s">
        <v>640</v>
      </c>
      <c r="E24" s="13">
        <v>247</v>
      </c>
      <c r="F24" s="12">
        <f>E24/165</f>
        <v>1.4969696969696971</v>
      </c>
      <c r="G24" t="s">
        <v>625</v>
      </c>
      <c r="H24" t="s">
        <v>647</v>
      </c>
      <c r="I24" s="4" t="s">
        <v>580</v>
      </c>
      <c r="J24" t="s">
        <v>682</v>
      </c>
      <c r="K24" s="5" t="s">
        <v>710</v>
      </c>
      <c r="L24" s="5" t="s">
        <v>647</v>
      </c>
      <c r="M24" s="15">
        <v>25</v>
      </c>
      <c r="N24" s="15">
        <v>1</v>
      </c>
      <c r="O24" s="11" t="s">
        <v>466</v>
      </c>
    </row>
    <row r="25" spans="1:15">
      <c r="A25" s="10"/>
      <c r="B25" s="10"/>
      <c r="C25" s="10"/>
      <c r="D25" s="10"/>
      <c r="E25" s="13"/>
      <c r="F25" s="12"/>
      <c r="G25" t="s">
        <v>616</v>
      </c>
      <c r="H25" t="s">
        <v>604</v>
      </c>
      <c r="I25" s="4" t="s">
        <v>580</v>
      </c>
      <c r="J25" t="s">
        <v>681</v>
      </c>
      <c r="K25" s="5" t="s">
        <v>701</v>
      </c>
      <c r="L25" s="5" t="s">
        <v>604</v>
      </c>
      <c r="M25" s="15">
        <v>20</v>
      </c>
      <c r="N25" s="15">
        <v>20</v>
      </c>
      <c r="O25" s="11"/>
    </row>
    <row r="26" spans="1:15">
      <c r="A26" s="10"/>
      <c r="B26" s="10"/>
      <c r="C26" s="10"/>
      <c r="D26" s="10"/>
      <c r="E26" s="13"/>
      <c r="F26" s="12"/>
      <c r="G26" t="s">
        <v>617</v>
      </c>
      <c r="H26" t="s">
        <v>605</v>
      </c>
      <c r="I26" s="4" t="s">
        <v>580</v>
      </c>
      <c r="J26" t="s">
        <v>680</v>
      </c>
      <c r="K26" s="5" t="s">
        <v>701</v>
      </c>
      <c r="L26" s="5" t="s">
        <v>605</v>
      </c>
      <c r="M26" s="15">
        <v>20</v>
      </c>
      <c r="N26" s="15">
        <v>20</v>
      </c>
      <c r="O26" s="11"/>
    </row>
    <row r="27" spans="1:15">
      <c r="A27" s="10" t="s">
        <v>505</v>
      </c>
      <c r="B27" s="14" t="s">
        <v>541</v>
      </c>
      <c r="C27" s="10"/>
      <c r="D27" s="10" t="s">
        <v>640</v>
      </c>
      <c r="E27" s="13">
        <v>247</v>
      </c>
      <c r="F27" s="12">
        <f>E27/165</f>
        <v>1.4969696969696971</v>
      </c>
      <c r="G27" t="s">
        <v>626</v>
      </c>
      <c r="H27" t="s">
        <v>641</v>
      </c>
      <c r="I27" s="4" t="s">
        <v>580</v>
      </c>
      <c r="J27" t="s">
        <v>641</v>
      </c>
      <c r="K27" s="5" t="s">
        <v>709</v>
      </c>
      <c r="L27" s="5" t="s">
        <v>641</v>
      </c>
      <c r="M27" s="15">
        <v>20</v>
      </c>
      <c r="N27" s="15">
        <v>1</v>
      </c>
      <c r="O27" s="11" t="s">
        <v>507</v>
      </c>
    </row>
    <row r="28" spans="1:15">
      <c r="A28" s="10"/>
      <c r="B28" s="14"/>
      <c r="C28" s="10"/>
      <c r="D28" s="10"/>
      <c r="E28" s="13"/>
      <c r="F28" s="12"/>
      <c r="G28" t="s">
        <v>622</v>
      </c>
      <c r="H28" t="s">
        <v>642</v>
      </c>
      <c r="I28" s="4" t="s">
        <v>580</v>
      </c>
      <c r="J28" s="6" t="s">
        <v>689</v>
      </c>
      <c r="L28" s="4" t="s">
        <v>714</v>
      </c>
      <c r="M28" s="15">
        <v>50</v>
      </c>
      <c r="N28" s="15">
        <v>6</v>
      </c>
      <c r="O28" s="11"/>
    </row>
    <row r="29" spans="1:15">
      <c r="A29" s="10"/>
      <c r="B29" s="14"/>
      <c r="C29" s="10"/>
      <c r="D29" s="10"/>
      <c r="E29" s="13"/>
      <c r="F29" s="12"/>
      <c r="G29" t="s">
        <v>627</v>
      </c>
      <c r="H29" t="s">
        <v>605</v>
      </c>
      <c r="I29" s="4" t="s">
        <v>580</v>
      </c>
      <c r="J29" t="s">
        <v>680</v>
      </c>
      <c r="K29" s="5" t="s">
        <v>701</v>
      </c>
      <c r="L29" s="5" t="s">
        <v>605</v>
      </c>
      <c r="M29" s="15">
        <v>20</v>
      </c>
      <c r="N29" s="15">
        <v>20</v>
      </c>
      <c r="O29" s="11"/>
    </row>
    <row r="30" spans="1:15">
      <c r="A30" s="10" t="s">
        <v>508</v>
      </c>
      <c r="B30" s="14" t="s">
        <v>541</v>
      </c>
      <c r="C30" s="10"/>
      <c r="D30" s="10" t="s">
        <v>635</v>
      </c>
      <c r="E30" s="13">
        <v>240</v>
      </c>
      <c r="F30" s="12">
        <f>E30/165</f>
        <v>1.4545454545454546</v>
      </c>
      <c r="G30" t="s">
        <v>628</v>
      </c>
      <c r="H30" t="s">
        <v>643</v>
      </c>
      <c r="I30" s="4" t="s">
        <v>644</v>
      </c>
      <c r="J30" t="s">
        <v>683</v>
      </c>
      <c r="K30" s="5" t="s">
        <v>712</v>
      </c>
      <c r="L30" s="5" t="s">
        <v>715</v>
      </c>
      <c r="M30" s="15">
        <v>30</v>
      </c>
      <c r="N30" s="15">
        <v>1</v>
      </c>
      <c r="O30" s="11" t="s">
        <v>510</v>
      </c>
    </row>
    <row r="31" spans="1:15">
      <c r="A31" s="10"/>
      <c r="B31" s="14"/>
      <c r="C31" s="10"/>
      <c r="D31" s="10"/>
      <c r="E31" s="13"/>
      <c r="F31" s="12"/>
      <c r="G31" t="s">
        <v>616</v>
      </c>
      <c r="H31" t="s">
        <v>604</v>
      </c>
      <c r="I31" s="4" t="s">
        <v>580</v>
      </c>
      <c r="J31" t="s">
        <v>681</v>
      </c>
      <c r="K31" s="5" t="s">
        <v>701</v>
      </c>
      <c r="L31" s="5" t="s">
        <v>604</v>
      </c>
      <c r="M31" s="15">
        <v>20</v>
      </c>
      <c r="N31" s="15">
        <v>20</v>
      </c>
      <c r="O31" s="11"/>
    </row>
    <row r="32" spans="1:15">
      <c r="A32" s="10"/>
      <c r="B32" s="14"/>
      <c r="C32" s="10"/>
      <c r="D32" s="10"/>
      <c r="E32" s="13"/>
      <c r="F32" s="12"/>
      <c r="G32" t="s">
        <v>629</v>
      </c>
      <c r="H32" t="s">
        <v>648</v>
      </c>
      <c r="I32" s="4" t="s">
        <v>587</v>
      </c>
      <c r="J32" s="6" t="s">
        <v>690</v>
      </c>
      <c r="O32" s="11"/>
    </row>
    <row r="33" spans="1:15">
      <c r="A33" s="10" t="s">
        <v>511</v>
      </c>
      <c r="B33" s="10" t="s">
        <v>287</v>
      </c>
      <c r="C33" s="10"/>
      <c r="D33" s="10" t="s">
        <v>638</v>
      </c>
      <c r="E33" s="13">
        <v>192</v>
      </c>
      <c r="F33" s="12">
        <f>E33/132</f>
        <v>1.4545454545454546</v>
      </c>
      <c r="G33" t="s">
        <v>630</v>
      </c>
      <c r="H33" t="s">
        <v>649</v>
      </c>
      <c r="I33" s="4" t="s">
        <v>580</v>
      </c>
      <c r="J33" t="s">
        <v>649</v>
      </c>
      <c r="K33" s="5" t="s">
        <v>711</v>
      </c>
      <c r="L33" s="5" t="s">
        <v>649</v>
      </c>
      <c r="M33" s="15">
        <v>15</v>
      </c>
      <c r="N33" s="15">
        <v>1</v>
      </c>
      <c r="O33" s="11" t="s">
        <v>513</v>
      </c>
    </row>
    <row r="34" spans="1:15">
      <c r="A34" s="10"/>
      <c r="B34" s="10"/>
      <c r="C34" s="10"/>
      <c r="D34" s="10"/>
      <c r="E34" s="13"/>
      <c r="F34" s="12"/>
      <c r="G34" t="s">
        <v>623</v>
      </c>
      <c r="H34" t="s">
        <v>604</v>
      </c>
      <c r="I34" s="4" t="s">
        <v>580</v>
      </c>
      <c r="J34" t="s">
        <v>681</v>
      </c>
      <c r="K34" s="5" t="s">
        <v>701</v>
      </c>
      <c r="L34" s="5" t="s">
        <v>604</v>
      </c>
      <c r="M34" s="15">
        <v>20</v>
      </c>
      <c r="N34" s="15">
        <v>20</v>
      </c>
      <c r="O34" s="11"/>
    </row>
    <row r="35" spans="1:15">
      <c r="A35" s="10"/>
      <c r="B35" s="10"/>
      <c r="C35" s="10"/>
      <c r="D35" s="10"/>
      <c r="E35" s="13"/>
      <c r="F35" s="12"/>
      <c r="G35" t="s">
        <v>614</v>
      </c>
      <c r="H35" t="s">
        <v>605</v>
      </c>
      <c r="I35" s="4" t="s">
        <v>580</v>
      </c>
      <c r="J35" t="s">
        <v>680</v>
      </c>
      <c r="K35" s="5" t="s">
        <v>701</v>
      </c>
      <c r="L35" s="5" t="s">
        <v>605</v>
      </c>
      <c r="M35" s="15">
        <v>20</v>
      </c>
      <c r="N35" s="15">
        <v>20</v>
      </c>
      <c r="O35" s="11"/>
    </row>
    <row r="36" spans="1:15">
      <c r="A36" s="10" t="s">
        <v>514</v>
      </c>
      <c r="B36" s="14" t="s">
        <v>541</v>
      </c>
      <c r="C36" s="10"/>
      <c r="D36" s="10" t="s">
        <v>637</v>
      </c>
      <c r="E36" s="13">
        <v>144</v>
      </c>
      <c r="F36" s="12">
        <f>E36/99</f>
        <v>1.4545454545454546</v>
      </c>
      <c r="G36" t="s">
        <v>631</v>
      </c>
      <c r="H36" t="s">
        <v>650</v>
      </c>
      <c r="I36" s="4" t="s">
        <v>580</v>
      </c>
      <c r="J36" t="s">
        <v>650</v>
      </c>
      <c r="K36" s="5" t="s">
        <v>711</v>
      </c>
      <c r="L36" s="5" t="s">
        <v>650</v>
      </c>
      <c r="M36" s="15">
        <v>30</v>
      </c>
      <c r="N36" s="15">
        <v>1</v>
      </c>
      <c r="O36" s="11" t="s">
        <v>516</v>
      </c>
    </row>
    <row r="37" spans="1:15">
      <c r="A37" s="10"/>
      <c r="B37" s="14"/>
      <c r="C37" s="10"/>
      <c r="D37" s="10"/>
      <c r="E37" s="13"/>
      <c r="F37" s="12"/>
      <c r="G37" t="s">
        <v>632</v>
      </c>
      <c r="H37" t="s">
        <v>605</v>
      </c>
      <c r="I37" s="4" t="s">
        <v>580</v>
      </c>
      <c r="J37" t="s">
        <v>680</v>
      </c>
      <c r="K37" s="5" t="s">
        <v>701</v>
      </c>
      <c r="L37" s="5" t="s">
        <v>605</v>
      </c>
      <c r="M37" s="15">
        <v>20</v>
      </c>
      <c r="N37" s="15">
        <v>20</v>
      </c>
      <c r="O37" s="11"/>
    </row>
    <row r="38" spans="1:15">
      <c r="A38" s="10"/>
      <c r="B38" s="14"/>
      <c r="C38" s="10"/>
      <c r="D38" s="10"/>
      <c r="E38" s="13"/>
      <c r="F38" s="12"/>
      <c r="G38" t="s">
        <v>633</v>
      </c>
      <c r="H38" t="s">
        <v>651</v>
      </c>
      <c r="I38" s="4" t="s">
        <v>580</v>
      </c>
      <c r="J38" t="s">
        <v>679</v>
      </c>
      <c r="K38" s="5" t="s">
        <v>701</v>
      </c>
      <c r="L38" s="5" t="s">
        <v>651</v>
      </c>
      <c r="M38" s="15">
        <v>20</v>
      </c>
      <c r="N38" s="15">
        <v>20</v>
      </c>
      <c r="O38" s="11"/>
    </row>
  </sheetData>
  <mergeCells count="92">
    <mergeCell ref="F1:F2"/>
    <mergeCell ref="G1:I1"/>
    <mergeCell ref="J1:N1"/>
    <mergeCell ref="O1:O2"/>
    <mergeCell ref="A9:A11"/>
    <mergeCell ref="B1:B2"/>
    <mergeCell ref="C1:C2"/>
    <mergeCell ref="D1:D2"/>
    <mergeCell ref="E1:E2"/>
    <mergeCell ref="O3:O5"/>
    <mergeCell ref="A6:A8"/>
    <mergeCell ref="B6:B8"/>
    <mergeCell ref="C6:C8"/>
    <mergeCell ref="D6:D8"/>
    <mergeCell ref="E6:E8"/>
    <mergeCell ref="F6:F8"/>
    <mergeCell ref="O6:O8"/>
    <mergeCell ref="A3:A5"/>
    <mergeCell ref="D3:D5"/>
    <mergeCell ref="E3:E5"/>
    <mergeCell ref="F3:F5"/>
    <mergeCell ref="B3:B5"/>
    <mergeCell ref="C3:C5"/>
    <mergeCell ref="C9:C11"/>
    <mergeCell ref="D9:D11"/>
    <mergeCell ref="E9:E11"/>
    <mergeCell ref="F18:F20"/>
    <mergeCell ref="F9:F11"/>
    <mergeCell ref="O9:O11"/>
    <mergeCell ref="O12:O14"/>
    <mergeCell ref="A15:A17"/>
    <mergeCell ref="B15:B17"/>
    <mergeCell ref="C15:C17"/>
    <mergeCell ref="D15:D17"/>
    <mergeCell ref="E15:E17"/>
    <mergeCell ref="F15:F17"/>
    <mergeCell ref="O15:O17"/>
    <mergeCell ref="A12:A14"/>
    <mergeCell ref="B12:B14"/>
    <mergeCell ref="C12:C14"/>
    <mergeCell ref="D12:D14"/>
    <mergeCell ref="E12:E14"/>
    <mergeCell ref="F12:F14"/>
    <mergeCell ref="B9:B11"/>
    <mergeCell ref="A18:A20"/>
    <mergeCell ref="B18:B20"/>
    <mergeCell ref="C18:C20"/>
    <mergeCell ref="D18:D20"/>
    <mergeCell ref="E18:E20"/>
    <mergeCell ref="B36:B38"/>
    <mergeCell ref="A21:A23"/>
    <mergeCell ref="A24:A26"/>
    <mergeCell ref="A27:A29"/>
    <mergeCell ref="A30:A32"/>
    <mergeCell ref="A33:A35"/>
    <mergeCell ref="A36:A38"/>
    <mergeCell ref="B21:B23"/>
    <mergeCell ref="B24:B26"/>
    <mergeCell ref="B27:B29"/>
    <mergeCell ref="B30:B32"/>
    <mergeCell ref="B33:B35"/>
    <mergeCell ref="D36:D38"/>
    <mergeCell ref="C21:C23"/>
    <mergeCell ref="C24:C26"/>
    <mergeCell ref="C27:C29"/>
    <mergeCell ref="C30:C32"/>
    <mergeCell ref="C33:C35"/>
    <mergeCell ref="C36:C38"/>
    <mergeCell ref="D21:D23"/>
    <mergeCell ref="D24:D26"/>
    <mergeCell ref="D27:D29"/>
    <mergeCell ref="D30:D32"/>
    <mergeCell ref="D33:D35"/>
    <mergeCell ref="E36:E38"/>
    <mergeCell ref="F21:F23"/>
    <mergeCell ref="F24:F26"/>
    <mergeCell ref="F27:F29"/>
    <mergeCell ref="F30:F32"/>
    <mergeCell ref="F33:F35"/>
    <mergeCell ref="F36:F38"/>
    <mergeCell ref="E21:E23"/>
    <mergeCell ref="E24:E26"/>
    <mergeCell ref="E27:E29"/>
    <mergeCell ref="E30:E32"/>
    <mergeCell ref="E33:E35"/>
    <mergeCell ref="O36:O38"/>
    <mergeCell ref="O18:O20"/>
    <mergeCell ref="O21:O23"/>
    <mergeCell ref="O24:O26"/>
    <mergeCell ref="O27:O29"/>
    <mergeCell ref="O30:O32"/>
    <mergeCell ref="O33:O35"/>
  </mergeCells>
  <pageMargins left="0.7" right="0.7" top="0.75" bottom="0.75" header="0.3" footer="0.3"/>
  <pageSetup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F5292-B14B-4205-A7B9-BC9911CD4109}">
  <dimension ref="A1:K33"/>
  <sheetViews>
    <sheetView tabSelected="1" topLeftCell="H1" workbookViewId="0">
      <pane xSplit="1" ySplit="1" topLeftCell="J2" activePane="bottomRight" state="frozen"/>
      <selection activeCell="H1" sqref="H1"/>
      <selection pane="topRight" activeCell="I1" sqref="I1"/>
      <selection pane="bottomLeft" activeCell="H2" sqref="H2"/>
      <selection pane="bottomRight" activeCell="K6" sqref="K6"/>
    </sheetView>
  </sheetViews>
  <sheetFormatPr defaultRowHeight="14.25"/>
  <cols>
    <col min="1" max="1" width="24.875" hidden="1" customWidth="1"/>
    <col min="2" max="2" width="97.125" hidden="1" customWidth="1"/>
    <col min="3" max="3" width="36.375" hidden="1" customWidth="1"/>
    <col min="4" max="7" width="9" hidden="1" customWidth="1"/>
    <col min="8" max="8" width="26.125" bestFit="1" customWidth="1"/>
    <col min="9" max="9" width="99.875" hidden="1" customWidth="1"/>
    <col min="10" max="10" width="28.75" bestFit="1" customWidth="1"/>
    <col min="11" max="11" width="113.375" bestFit="1" customWidth="1"/>
  </cols>
  <sheetData>
    <row r="1" spans="1:11">
      <c r="A1" t="s">
        <v>652</v>
      </c>
      <c r="B1" t="s">
        <v>653</v>
      </c>
      <c r="C1" t="s">
        <v>671</v>
      </c>
      <c r="D1" t="s">
        <v>584</v>
      </c>
      <c r="H1" t="s">
        <v>671</v>
      </c>
      <c r="I1" t="s">
        <v>653</v>
      </c>
      <c r="J1" t="s">
        <v>722</v>
      </c>
      <c r="K1" t="s">
        <v>720</v>
      </c>
    </row>
    <row r="2" spans="1:11">
      <c r="A2" t="s">
        <v>595</v>
      </c>
      <c r="B2" t="s">
        <v>655</v>
      </c>
      <c r="C2" t="s">
        <v>716</v>
      </c>
      <c r="H2" t="s">
        <v>735</v>
      </c>
      <c r="J2" t="s">
        <v>724</v>
      </c>
      <c r="K2" t="s">
        <v>725</v>
      </c>
    </row>
    <row r="3" spans="1:11">
      <c r="A3" t="s">
        <v>606</v>
      </c>
      <c r="B3" s="2" t="s">
        <v>656</v>
      </c>
      <c r="C3" s="2" t="s">
        <v>672</v>
      </c>
      <c r="H3" t="s">
        <v>746</v>
      </c>
      <c r="J3" t="s">
        <v>747</v>
      </c>
      <c r="K3" t="s">
        <v>748</v>
      </c>
    </row>
    <row r="4" spans="1:11">
      <c r="A4" t="s">
        <v>607</v>
      </c>
      <c r="B4" s="2" t="s">
        <v>657</v>
      </c>
      <c r="C4" s="2" t="s">
        <v>673</v>
      </c>
      <c r="H4" t="s">
        <v>597</v>
      </c>
      <c r="I4" t="s">
        <v>658</v>
      </c>
      <c r="J4" t="s">
        <v>740</v>
      </c>
      <c r="K4" t="s">
        <v>738</v>
      </c>
    </row>
    <row r="5" spans="1:11">
      <c r="A5" t="s">
        <v>600</v>
      </c>
      <c r="C5" t="s">
        <v>600</v>
      </c>
      <c r="H5" t="s">
        <v>583</v>
      </c>
      <c r="I5" t="s">
        <v>659</v>
      </c>
      <c r="J5" t="s">
        <v>741</v>
      </c>
      <c r="K5" t="s">
        <v>739</v>
      </c>
    </row>
    <row r="6" spans="1:11">
      <c r="A6" t="s">
        <v>581</v>
      </c>
      <c r="C6" t="s">
        <v>581</v>
      </c>
      <c r="H6" t="s">
        <v>596</v>
      </c>
      <c r="I6" t="s">
        <v>660</v>
      </c>
      <c r="J6" t="s">
        <v>743</v>
      </c>
      <c r="K6" t="s">
        <v>742</v>
      </c>
    </row>
    <row r="7" spans="1:11">
      <c r="A7" t="s">
        <v>585</v>
      </c>
      <c r="C7" t="s">
        <v>677</v>
      </c>
      <c r="H7" t="s">
        <v>647</v>
      </c>
      <c r="I7" t="s">
        <v>721</v>
      </c>
      <c r="J7" t="s">
        <v>723</v>
      </c>
      <c r="K7" t="s">
        <v>728</v>
      </c>
    </row>
    <row r="8" spans="1:11">
      <c r="A8" t="s">
        <v>594</v>
      </c>
      <c r="C8" t="s">
        <v>678</v>
      </c>
      <c r="H8" t="s">
        <v>651</v>
      </c>
      <c r="I8" t="s">
        <v>661</v>
      </c>
      <c r="J8" t="s">
        <v>730</v>
      </c>
      <c r="K8" t="s">
        <v>729</v>
      </c>
    </row>
    <row r="9" spans="1:11">
      <c r="A9" t="s">
        <v>597</v>
      </c>
      <c r="B9" t="s">
        <v>658</v>
      </c>
      <c r="C9" t="s">
        <v>691</v>
      </c>
      <c r="H9" t="s">
        <v>717</v>
      </c>
      <c r="I9" t="s">
        <v>665</v>
      </c>
    </row>
    <row r="10" spans="1:11">
      <c r="A10" t="s">
        <v>583</v>
      </c>
      <c r="B10" s="2" t="s">
        <v>659</v>
      </c>
      <c r="C10" s="2" t="s">
        <v>687</v>
      </c>
      <c r="H10" t="s">
        <v>605</v>
      </c>
      <c r="I10" t="s">
        <v>664</v>
      </c>
      <c r="J10" t="s">
        <v>731</v>
      </c>
      <c r="K10" t="s">
        <v>733</v>
      </c>
    </row>
    <row r="11" spans="1:11">
      <c r="A11" t="s">
        <v>596</v>
      </c>
      <c r="B11" t="s">
        <v>660</v>
      </c>
      <c r="C11" t="s">
        <v>686</v>
      </c>
      <c r="H11" t="s">
        <v>718</v>
      </c>
      <c r="I11" t="s">
        <v>663</v>
      </c>
    </row>
    <row r="12" spans="1:11">
      <c r="A12" t="s">
        <v>605</v>
      </c>
      <c r="B12" t="s">
        <v>665</v>
      </c>
      <c r="C12" t="s">
        <v>684</v>
      </c>
      <c r="H12" t="s">
        <v>604</v>
      </c>
      <c r="I12" t="s">
        <v>662</v>
      </c>
      <c r="J12" t="s">
        <v>732</v>
      </c>
      <c r="K12" t="s">
        <v>734</v>
      </c>
    </row>
    <row r="13" spans="1:11">
      <c r="A13" t="s">
        <v>604</v>
      </c>
      <c r="B13" t="s">
        <v>663</v>
      </c>
      <c r="C13" t="s">
        <v>685</v>
      </c>
      <c r="H13" t="s">
        <v>715</v>
      </c>
      <c r="I13" t="s">
        <v>667</v>
      </c>
      <c r="J13" t="s">
        <v>749</v>
      </c>
      <c r="K13" t="s">
        <v>744</v>
      </c>
    </row>
    <row r="14" spans="1:11">
      <c r="A14" t="s">
        <v>592</v>
      </c>
      <c r="C14" t="s">
        <v>592</v>
      </c>
      <c r="H14" t="s">
        <v>716</v>
      </c>
      <c r="J14" t="s">
        <v>727</v>
      </c>
      <c r="K14" t="s">
        <v>726</v>
      </c>
    </row>
    <row r="15" spans="1:11">
      <c r="A15" t="s">
        <v>601</v>
      </c>
      <c r="C15" t="s">
        <v>601</v>
      </c>
      <c r="H15" t="s">
        <v>719</v>
      </c>
      <c r="I15" t="s">
        <v>676</v>
      </c>
    </row>
    <row r="16" spans="1:11">
      <c r="A16" t="s">
        <v>589</v>
      </c>
      <c r="C16" t="s">
        <v>589</v>
      </c>
      <c r="H16" t="s">
        <v>736</v>
      </c>
      <c r="J16" t="s">
        <v>737</v>
      </c>
      <c r="K16" t="s">
        <v>745</v>
      </c>
    </row>
    <row r="17" spans="1:3">
      <c r="A17" t="s">
        <v>598</v>
      </c>
      <c r="B17" t="s">
        <v>666</v>
      </c>
      <c r="C17" t="s">
        <v>675</v>
      </c>
    </row>
    <row r="18" spans="1:3">
      <c r="A18" t="s">
        <v>582</v>
      </c>
      <c r="C18" t="s">
        <v>674</v>
      </c>
    </row>
    <row r="19" spans="1:3">
      <c r="A19" t="s">
        <v>603</v>
      </c>
      <c r="B19" t="s">
        <v>676</v>
      </c>
      <c r="C19" t="s">
        <v>698</v>
      </c>
    </row>
    <row r="21" spans="1:3">
      <c r="A21" t="s">
        <v>654</v>
      </c>
      <c r="B21" t="s">
        <v>653</v>
      </c>
      <c r="C21" t="s">
        <v>671</v>
      </c>
    </row>
    <row r="22" spans="1:3">
      <c r="A22" t="s">
        <v>646</v>
      </c>
      <c r="C22" t="s">
        <v>646</v>
      </c>
    </row>
    <row r="23" spans="1:3">
      <c r="A23" t="s">
        <v>643</v>
      </c>
      <c r="B23" t="s">
        <v>667</v>
      </c>
      <c r="C23" t="s">
        <v>683</v>
      </c>
    </row>
    <row r="24" spans="1:3">
      <c r="A24" t="s">
        <v>645</v>
      </c>
      <c r="B24" t="s">
        <v>668</v>
      </c>
      <c r="C24" s="6" t="s">
        <v>688</v>
      </c>
    </row>
    <row r="25" spans="1:3">
      <c r="A25" t="s">
        <v>642</v>
      </c>
      <c r="B25" t="s">
        <v>669</v>
      </c>
      <c r="C25" s="6" t="s">
        <v>689</v>
      </c>
    </row>
    <row r="26" spans="1:3">
      <c r="A26" t="s">
        <v>648</v>
      </c>
      <c r="B26" t="s">
        <v>670</v>
      </c>
      <c r="C26" s="6" t="s">
        <v>690</v>
      </c>
    </row>
    <row r="27" spans="1:3">
      <c r="A27" t="s">
        <v>641</v>
      </c>
      <c r="C27" t="s">
        <v>641</v>
      </c>
    </row>
    <row r="28" spans="1:3">
      <c r="A28" t="s">
        <v>650</v>
      </c>
      <c r="C28" t="s">
        <v>650</v>
      </c>
    </row>
    <row r="29" spans="1:3">
      <c r="A29" t="s">
        <v>647</v>
      </c>
      <c r="C29" t="s">
        <v>682</v>
      </c>
    </row>
    <row r="30" spans="1:3">
      <c r="A30" t="s">
        <v>651</v>
      </c>
      <c r="B30" t="s">
        <v>661</v>
      </c>
      <c r="C30" t="s">
        <v>679</v>
      </c>
    </row>
    <row r="31" spans="1:3">
      <c r="A31" t="s">
        <v>605</v>
      </c>
      <c r="B31" t="s">
        <v>664</v>
      </c>
      <c r="C31" t="s">
        <v>680</v>
      </c>
    </row>
    <row r="32" spans="1:3">
      <c r="A32" t="s">
        <v>604</v>
      </c>
      <c r="B32" t="s">
        <v>662</v>
      </c>
      <c r="C32" t="s">
        <v>681</v>
      </c>
    </row>
    <row r="33" spans="1:3">
      <c r="A33" t="s">
        <v>649</v>
      </c>
      <c r="C33" t="s">
        <v>649</v>
      </c>
    </row>
  </sheetData>
  <sortState xmlns:xlrd2="http://schemas.microsoft.com/office/spreadsheetml/2017/richdata2" ref="H4:H15">
    <sortCondition ref="H4:H15"/>
  </sortState>
  <pageMargins left="0.7" right="0.7" top="0.75" bottom="0.75" header="0.3" footer="0.3"/>
  <pageSetup orientation="portrait" horizontalDpi="30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Items</vt:lpstr>
      <vt:lpstr>Artifacts Only</vt:lpstr>
      <vt:lpstr>Armor</vt:lpstr>
      <vt:lpstr>Weapons</vt:lpstr>
      <vt:lpstr>Blades Effects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2026-06-20T13:03:39Z</dcterms:created>
  <dcterms:modified xsi:type="dcterms:W3CDTF">2026-06-24T03:16:40Z</dcterms:modified>
</cp:coreProperties>
</file>